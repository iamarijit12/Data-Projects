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Arijit\"/>
    </mc:Choice>
  </mc:AlternateContent>
  <xr:revisionPtr revIDLastSave="0" documentId="13_ncr:1_{C7535EDF-8D6E-49E1-9521-5EC832A788DD}" xr6:coauthVersionLast="47" xr6:coauthVersionMax="47" xr10:uidLastSave="{00000000-0000-0000-0000-000000000000}"/>
  <bookViews>
    <workbookView xWindow="-120" yWindow="-120" windowWidth="20730" windowHeight="11040" activeTab="1" xr2:uid="{00000000-000D-0000-FFFF-FFFF00000000}"/>
  </bookViews>
  <sheets>
    <sheet name="Data" sheetId="1" r:id="rId1"/>
    <sheet name="Dashboard" sheetId="5" r:id="rId2"/>
    <sheet name="Analysis " sheetId="6" r:id="rId3"/>
    <sheet name="Insights" sheetId="7" r:id="rId4"/>
    <sheet name="Sheet1" sheetId="8" r:id="rId5"/>
  </sheets>
  <definedNames>
    <definedName name="Slicer_Category">#N/A</definedName>
    <definedName name="Slicer_Payment_Method">#N/A</definedName>
    <definedName name="Slicer_Product">#N/A</definedName>
    <definedName name="Slicer_Region">#N/A</definedName>
    <definedName name="Slicer_Sales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8" i="1" l="1"/>
  <c r="P8" i="1"/>
  <c r="Q5" i="1"/>
  <c r="P5" i="1"/>
  <c r="O10" i="1"/>
  <c r="O7" i="1"/>
  <c r="M2" i="1"/>
</calcChain>
</file>

<file path=xl/sharedStrings.xml><?xml version="1.0" encoding="utf-8"?>
<sst xmlns="http://schemas.openxmlformats.org/spreadsheetml/2006/main" count="12104" uniqueCount="1084">
  <si>
    <t>Order_ID</t>
  </si>
  <si>
    <t>Date</t>
  </si>
  <si>
    <t>Region</t>
  </si>
  <si>
    <t>Salesperson</t>
  </si>
  <si>
    <t>Product</t>
  </si>
  <si>
    <t>Category</t>
  </si>
  <si>
    <t>Quantity</t>
  </si>
  <si>
    <t>Unit_Price</t>
  </si>
  <si>
    <t>Discount(%)</t>
  </si>
  <si>
    <t>Payment_Method</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</si>
  <si>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</si>
  <si>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</si>
  <si>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</si>
  <si>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</si>
  <si>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</si>
  <si>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</si>
  <si>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</si>
  <si>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</si>
  <si>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</si>
  <si>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</si>
  <si>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</si>
  <si>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</si>
  <si>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</si>
  <si>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</si>
  <si>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</si>
  <si>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</si>
  <si>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</si>
  <si>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</si>
  <si>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</si>
  <si>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</si>
  <si>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</si>
  <si>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</si>
  <si>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</si>
  <si>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</si>
  <si>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</si>
  <si>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</si>
  <si>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</si>
  <si>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</si>
  <si>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</si>
  <si>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</si>
  <si>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</si>
  <si>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</si>
  <si>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</si>
  <si>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</si>
  <si>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</si>
  <si>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</si>
  <si>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</si>
  <si>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</si>
  <si>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</si>
  <si>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</si>
  <si>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</si>
  <si>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</si>
  <si>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</si>
  <si>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</si>
  <si>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</si>
  <si>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</si>
  <si>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</si>
  <si>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</si>
  <si>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</si>
  <si>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</si>
  <si>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</si>
  <si>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</si>
  <si>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</si>
  <si>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</si>
  <si>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</si>
  <si>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</si>
  <si>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</si>
  <si>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</si>
  <si>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</si>
  <si>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</si>
  <si>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</si>
  <si>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</si>
  <si>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</si>
  <si>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</si>
  <si>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</si>
  <si>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</si>
  <si>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</si>
  <si>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</si>
  <si>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</si>
  <si>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</si>
  <si>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</si>
  <si>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</si>
  <si>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</si>
  <si>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</si>
  <si>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</si>
  <si>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</si>
  <si>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</si>
  <si>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</si>
  <si>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</si>
  <si>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</si>
  <si>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</si>
  <si>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</si>
  <si>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</si>
  <si>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</si>
  <si>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</si>
  <si>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</si>
  <si>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</si>
  <si>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</si>
  <si>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</si>
  <si>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</si>
  <si>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</si>
  <si>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</si>
  <si>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</si>
  <si>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</si>
  <si>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</si>
  <si>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</si>
  <si>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</si>
  <si>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</si>
  <si>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</si>
  <si>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</si>
  <si>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</si>
  <si>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</si>
  <si>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</si>
  <si>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</si>
  <si>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</si>
  <si>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</si>
  <si>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</si>
  <si>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</si>
  <si>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</si>
  <si>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</si>
  <si>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</si>
  <si>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</si>
  <si>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</si>
  <si>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</si>
  <si>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</si>
  <si>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</si>
  <si>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</si>
  <si>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</si>
  <si>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</si>
  <si>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</si>
  <si>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</si>
  <si>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</si>
  <si>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</si>
  <si>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</si>
  <si>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</si>
  <si>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</si>
  <si>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</si>
  <si>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</si>
  <si>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</si>
  <si>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</si>
  <si>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</si>
  <si>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</si>
  <si>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</si>
  <si>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</si>
  <si>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</si>
  <si>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</si>
  <si>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</si>
  <si>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</si>
  <si>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</si>
  <si>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</si>
  <si>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</si>
  <si>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</si>
  <si>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</si>
  <si>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</si>
  <si>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</si>
  <si>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</si>
  <si>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</si>
  <si>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</si>
  <si>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</si>
  <si>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</si>
  <si>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</si>
  <si>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</si>
  <si>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</si>
  <si>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</si>
  <si>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</si>
  <si>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</si>
  <si>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</si>
  <si>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</si>
  <si>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</si>
  <si>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</si>
  <si>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</si>
  <si>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</si>
  <si>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</si>
  <si>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</si>
  <si>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</si>
  <si>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</si>
  <si>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</si>
  <si>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</si>
  <si>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</si>
  <si>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</si>
  <si>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</si>
  <si>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</si>
  <si>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</si>
  <si>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</si>
  <si>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</si>
  <si>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</si>
  <si>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</si>
  <si>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</si>
  <si>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</si>
  <si>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</si>
  <si>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</si>
  <si>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</si>
  <si>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</si>
  <si>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</si>
  <si>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</si>
  <si>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</si>
  <si>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</si>
  <si>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</si>
  <si>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</si>
  <si>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</si>
  <si>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</si>
  <si>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</si>
  <si>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</si>
  <si>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</si>
  <si>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</si>
  <si>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</si>
  <si>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</si>
  <si>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</si>
  <si>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</si>
  <si>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</si>
  <si>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</si>
  <si>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</si>
  <si>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</si>
  <si>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</si>
  <si>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</si>
  <si>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</si>
  <si>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</si>
  <si>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</si>
  <si>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</si>
  <si>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</si>
  <si>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</si>
  <si>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</si>
  <si>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</si>
  <si>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</si>
  <si>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</si>
  <si>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</si>
  <si>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</si>
  <si>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</si>
  <si>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</si>
  <si>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</si>
  <si>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</si>
  <si>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</si>
  <si>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</si>
  <si>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</si>
  <si>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</si>
  <si>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</si>
  <si>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</si>
  <si>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</si>
  <si>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</si>
  <si>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</si>
  <si>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</si>
  <si>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</si>
  <si>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</si>
  <si>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</si>
  <si>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</si>
  <si>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</si>
  <si>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</si>
  <si>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</si>
  <si>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</si>
  <si>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</si>
  <si>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</si>
  <si>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</si>
  <si>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</si>
  <si>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</si>
  <si>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</si>
  <si>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</si>
  <si>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</si>
  <si>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</si>
  <si>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</si>
  <si>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</si>
  <si>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</si>
  <si>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</si>
  <si>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</si>
  <si>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</si>
  <si>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</si>
  <si>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</si>
  <si>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</si>
  <si>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</si>
  <si>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</si>
  <si>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</si>
  <si>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</si>
  <si>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</si>
  <si>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</si>
  <si>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</si>
  <si>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</si>
  <si>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</si>
  <si>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</si>
  <si>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</si>
  <si>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</si>
  <si>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</si>
  <si>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</si>
  <si>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</si>
  <si>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</si>
  <si>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</si>
  <si>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</si>
  <si>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</si>
  <si>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</si>
  <si>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</si>
  <si>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</si>
  <si>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</si>
  <si>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</si>
  <si>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</si>
  <si>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</si>
  <si>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</si>
  <si>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</si>
  <si>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</si>
  <si>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</si>
  <si>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</si>
  <si>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</si>
  <si>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</si>
  <si>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</si>
  <si>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</si>
  <si>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</si>
  <si>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</si>
  <si>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</si>
  <si>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</si>
  <si>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</si>
  <si>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</si>
  <si>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</si>
  <si>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</si>
  <si>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</si>
  <si>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</si>
  <si>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</si>
  <si>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</si>
  <si>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</si>
  <si>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</si>
  <si>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</si>
  <si>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</si>
  <si>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</si>
  <si>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</si>
  <si>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</si>
  <si>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</si>
  <si>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</si>
  <si>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</si>
  <si>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</si>
  <si>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</si>
  <si>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</si>
  <si>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</si>
  <si>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</si>
  <si>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</si>
  <si>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</si>
  <si>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</si>
  <si>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</si>
  <si>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</si>
  <si>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</si>
  <si>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</si>
  <si>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</si>
  <si>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</si>
  <si>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</si>
  <si>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</si>
  <si>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</si>
  <si>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</si>
  <si>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</si>
  <si>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</si>
  <si>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</si>
  <si>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</si>
  <si>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</si>
  <si>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</si>
  <si>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</si>
  <si>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</si>
  <si>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</si>
  <si>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</si>
  <si>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</si>
  <si>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</si>
  <si>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</si>
  <si>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</si>
  <si>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</si>
  <si>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</si>
  <si>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</si>
  <si>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</si>
  <si>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</si>
  <si>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</si>
  <si>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</si>
  <si>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</si>
  <si>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</si>
  <si>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</si>
  <si>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</si>
  <si>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</si>
  <si>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</si>
  <si>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</si>
  <si>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</si>
  <si>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</si>
  <si>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</si>
  <si>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</si>
  <si>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</si>
  <si>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</si>
  <si>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</si>
  <si>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</si>
  <si>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</si>
  <si>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</si>
  <si>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</si>
  <si>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</si>
  <si>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</si>
  <si>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</si>
  <si>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</si>
  <si>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</si>
  <si>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</si>
  <si>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</si>
  <si>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</si>
  <si>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</si>
  <si>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</si>
  <si>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</si>
  <si>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</si>
  <si>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</si>
  <si>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</si>
  <si>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</si>
  <si>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</si>
  <si>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</si>
  <si>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</si>
  <si>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</si>
  <si>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</si>
  <si>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</si>
  <si>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</si>
  <si>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</si>
  <si>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</si>
  <si>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</si>
  <si>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</si>
  <si>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</si>
  <si>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</si>
  <si>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</si>
  <si>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</si>
  <si>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</si>
  <si>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</si>
  <si>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</si>
  <si>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</si>
  <si>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</si>
  <si>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</si>
  <si>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</si>
  <si>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</si>
  <si>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</si>
  <si>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</si>
  <si>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</si>
  <si>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</si>
  <si>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</si>
  <si>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</si>
  <si>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</si>
  <si>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</si>
  <si>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</si>
  <si>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</si>
  <si>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</si>
  <si>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</si>
  <si>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</si>
  <si>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</si>
  <si>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</si>
  <si>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</si>
  <si>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</si>
  <si>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</si>
  <si>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</si>
  <si>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</si>
  <si>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</si>
  <si>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</si>
  <si>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</si>
  <si>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</si>
  <si>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</si>
  <si>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</si>
  <si>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</si>
  <si>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</si>
  <si>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</si>
  <si>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</si>
  <si>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</si>
  <si>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</si>
  <si>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</si>
  <si>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</si>
  <si>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</si>
  <si>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</si>
  <si>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</si>
  <si>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</si>
  <si>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</si>
  <si>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</si>
  <si>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</si>
  <si>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</si>
  <si>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</si>
  <si>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</si>
  <si>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</si>
  <si>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</si>
  <si>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</si>
  <si>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</si>
  <si>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</si>
  <si>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</si>
  <si>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</si>
  <si>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</si>
  <si>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</si>
  <si>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</si>
  <si>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</si>
  <si>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</si>
  <si>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</si>
  <si>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</si>
  <si>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</si>
  <si>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</si>
  <si>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</si>
  <si>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</si>
  <si>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</si>
  <si>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</si>
  <si>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</si>
  <si>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</si>
  <si>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</si>
  <si>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</si>
  <si>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</si>
  <si>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</si>
  <si>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</si>
  <si>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</si>
  <si>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</si>
  <si>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</si>
  <si>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</si>
  <si>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</si>
  <si>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</si>
  <si>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</si>
  <si>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</si>
  <si>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</si>
  <si>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</si>
  <si>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</si>
  <si>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</si>
  <si>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</si>
  <si>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</si>
  <si>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</si>
  <si>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</si>
  <si>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</si>
  <si>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</si>
  <si>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</si>
  <si>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</si>
  <si>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</si>
  <si>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</si>
  <si>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</si>
  <si>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</si>
  <si>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</si>
  <si>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</si>
  <si>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</si>
  <si>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</si>
  <si>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</si>
  <si>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</si>
  <si>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</si>
  <si>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</si>
  <si>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</si>
  <si>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</si>
  <si>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</si>
  <si>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</si>
  <si>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</si>
  <si>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</si>
  <si>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</si>
  <si>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</si>
  <si>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</si>
  <si>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</si>
  <si>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</si>
  <si>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</si>
  <si>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</si>
  <si>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</si>
  <si>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</si>
  <si>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</si>
  <si>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</si>
  <si>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</si>
  <si>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</si>
  <si>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</si>
  <si>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</si>
  <si>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</si>
  <si>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</si>
  <si>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</si>
  <si>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</si>
  <si>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</si>
  <si>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</si>
  <si>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</si>
  <si>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</si>
  <si>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</si>
  <si>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</si>
  <si>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</si>
  <si>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</si>
  <si>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</si>
  <si>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</si>
  <si>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</si>
  <si>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</si>
  <si>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</si>
  <si>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</si>
  <si>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</si>
  <si>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</si>
  <si>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</si>
  <si>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</si>
  <si>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</si>
  <si>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</si>
  <si>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</si>
  <si>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</si>
  <si>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</si>
  <si>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</si>
  <si>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</si>
  <si>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</si>
  <si>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</si>
  <si>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</si>
  <si>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</si>
  <si>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</si>
  <si>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</si>
  <si>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</si>
  <si>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</si>
  <si>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</si>
  <si>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</si>
  <si>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</si>
  <si>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</si>
  <si>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</si>
  <si>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</si>
  <si>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</si>
  <si>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</si>
  <si>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</si>
  <si>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</si>
  <si>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</si>
  <si>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</si>
  <si>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</si>
  <si>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</si>
  <si>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</si>
  <si>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</si>
  <si>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</si>
  <si>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</si>
  <si>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</si>
  <si>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</si>
  <si>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</si>
  <si>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</si>
  <si>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</si>
  <si>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</si>
  <si>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</si>
  <si>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</si>
  <si>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</si>
  <si>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</si>
  <si>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</si>
  <si>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</si>
  <si>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</si>
  <si>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</si>
  <si>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</si>
  <si>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</si>
  <si>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</si>
  <si>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</si>
  <si>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</si>
  <si>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</si>
  <si>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</si>
  <si>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</si>
  <si>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</si>
  <si>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</si>
  <si>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</si>
  <si>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</si>
  <si>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</si>
  <si>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</si>
  <si>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</si>
  <si>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</si>
  <si>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</si>
  <si>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</si>
  <si>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</si>
  <si>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</si>
  <si>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</si>
  <si>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</si>
  <si>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</si>
  <si>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</si>
  <si>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</si>
  <si>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</si>
  <si>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</si>
  <si>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</si>
  <si>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</si>
  <si>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</si>
  <si>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</si>
  <si>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</si>
  <si>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</si>
  <si>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</si>
  <si>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</si>
  <si>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</si>
  <si>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</si>
  <si>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</si>
  <si>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</si>
  <si>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</si>
  <si>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</si>
  <si>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</si>
  <si>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</si>
  <si>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</si>
  <si>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</si>
  <si>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</si>
  <si>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</si>
  <si>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</si>
  <si>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</si>
  <si>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</si>
  <si>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</si>
  <si>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</si>
  <si>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</si>
  <si>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</si>
  <si>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</si>
  <si>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</si>
  <si>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</si>
  <si>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</si>
  <si>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</si>
  <si>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</si>
  <si>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</si>
  <si>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</si>
  <si>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</si>
  <si>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</si>
  <si>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</si>
  <si>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</si>
  <si>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</si>
  <si>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</si>
  <si>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</si>
  <si>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</si>
  <si>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</si>
  <si>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</si>
  <si>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</si>
  <si>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</si>
  <si>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</si>
  <si>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</si>
  <si>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</si>
  <si>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</si>
  <si>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</si>
  <si>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</si>
  <si>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</si>
  <si>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</si>
  <si>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</si>
  <si>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</si>
  <si>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</si>
  <si>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</si>
  <si>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</si>
  <si>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</si>
  <si>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</si>
  <si>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</si>
  <si>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</si>
  <si>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</si>
  <si>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</si>
  <si>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</si>
  <si>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</si>
  <si>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</si>
  <si>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</si>
  <si>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</si>
  <si>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</si>
  <si>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</si>
  <si>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</si>
  <si>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</si>
  <si>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</si>
  <si>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</si>
  <si>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</si>
  <si>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</si>
  <si>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</si>
  <si>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</si>
  <si>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</si>
  <si>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</si>
  <si>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</si>
  <si>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</si>
  <si>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</si>
  <si>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</si>
  <si>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</si>
  <si>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</si>
  <si>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</si>
  <si>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</si>
  <si>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</si>
  <si>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</si>
  <si>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</si>
  <si>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</si>
  <si>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</si>
  <si>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</si>
  <si>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</si>
  <si>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</si>
  <si>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</si>
  <si>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</si>
  <si>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</si>
  <si>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</si>
  <si>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</si>
  <si>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</si>
  <si>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</si>
  <si>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</si>
  <si>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</si>
  <si>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</si>
  <si>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</si>
  <si>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</si>
  <si>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</si>
  <si>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</si>
  <si>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</si>
  <si>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</si>
  <si>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</si>
  <si>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</si>
  <si>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</si>
  <si>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</si>
  <si>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</si>
  <si>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</si>
  <si>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</si>
  <si>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</si>
  <si>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</si>
  <si>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</si>
  <si>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</si>
  <si>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</si>
  <si>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</si>
  <si>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</si>
  <si>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</si>
  <si>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</si>
  <si>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</si>
  <si>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</si>
  <si>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</si>
  <si>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</si>
  <si>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</si>
  <si>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</si>
  <si>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</si>
  <si>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</si>
  <si>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</si>
  <si>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</si>
  <si>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</si>
  <si>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</si>
  <si>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</si>
  <si>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</si>
  <si>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</si>
  <si>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</si>
  <si>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</si>
  <si>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</si>
  <si>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</si>
  <si>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</si>
  <si>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</si>
  <si>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</si>
  <si>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</si>
  <si>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</si>
  <si>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</si>
  <si>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</si>
  <si>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</si>
  <si>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</si>
  <si>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</si>
  <si>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</si>
  <si>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</si>
  <si>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</si>
  <si>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</si>
  <si>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</si>
  <si>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</si>
  <si>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</si>
  <si>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</si>
  <si>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</si>
  <si>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</si>
  <si>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</si>
  <si>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</si>
  <si>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</si>
  <si>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</si>
  <si>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</si>
  <si>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</si>
  <si>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</si>
  <si>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</si>
  <si>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</si>
  <si>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</si>
  <si>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</si>
  <si>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</si>
  <si>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</si>
  <si>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</si>
  <si>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</si>
  <si>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</si>
  <si>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</si>
  <si>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</si>
  <si>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</si>
  <si>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</si>
  <si>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</si>
  <si>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</si>
  <si>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</si>
  <si>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</si>
  <si>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</si>
  <si>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</si>
  <si>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</si>
  <si>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</si>
  <si>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</si>
  <si>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</si>
  <si>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</si>
  <si>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</si>
  <si>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</si>
  <si>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</si>
  <si>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</si>
  <si>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</si>
  <si>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</si>
  <si>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</si>
  <si>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</si>
  <si>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</si>
  <si>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</si>
  <si>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</si>
  <si>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</si>
  <si>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</si>
  <si>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</si>
  <si>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</si>
  <si>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</si>
  <si>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</si>
  <si>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</si>
  <si>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</si>
  <si>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</si>
  <si>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</si>
  <si>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</si>
  <si>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</si>
  <si>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</si>
  <si>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</si>
  <si>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</si>
  <si>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</si>
  <si>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</si>
  <si>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</si>
  <si>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</si>
  <si>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</si>
  <si>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</si>
  <si>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</si>
  <si>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</si>
  <si>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</si>
  <si>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</si>
  <si>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</si>
  <si>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</si>
  <si>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</si>
  <si>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</si>
  <si>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</si>
  <si>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</si>
  <si>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</si>
  <si>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</si>
  <si>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</si>
  <si>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</si>
  <si>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</si>
  <si>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</si>
  <si>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</si>
  <si>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</si>
  <si>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</si>
  <si>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</si>
  <si>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</si>
  <si>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</si>
  <si>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</si>
  <si>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</si>
  <si>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</si>
  <si>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</si>
  <si>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</si>
  <si>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</si>
  <si>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</si>
  <si>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</si>
  <si>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</si>
  <si>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</si>
  <si>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</si>
  <si>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</si>
  <si>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</si>
  <si>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</si>
  <si>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</si>
  <si>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</si>
  <si>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</si>
  <si>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</si>
  <si>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</si>
  <si>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</si>
  <si>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</si>
  <si>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</si>
  <si>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</si>
  <si>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</si>
  <si>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</si>
  <si>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</si>
  <si>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</si>
  <si>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</si>
  <si>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</si>
  <si>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</si>
  <si>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</si>
  <si>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</si>
  <si>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</si>
  <si>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</si>
  <si>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</si>
  <si>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</si>
  <si>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</si>
  <si>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</si>
  <si>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</si>
  <si>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</si>
  <si>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</si>
  <si>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</si>
  <si>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</si>
  <si>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</si>
  <si>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</si>
  <si>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</si>
  <si>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</si>
  <si>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</si>
  <si>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</si>
  <si>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</si>
  <si>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</si>
  <si>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</si>
  <si>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</si>
  <si>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</si>
  <si>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</si>
  <si>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</si>
  <si>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</si>
  <si>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</si>
  <si>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</si>
  <si>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</si>
  <si>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</si>
  <si>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</si>
  <si>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</si>
  <si>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</si>
  <si>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</si>
  <si>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</si>
  <si>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</si>
  <si>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</si>
  <si>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</si>
  <si>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</si>
  <si>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</si>
  <si>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</si>
  <si>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</si>
  <si>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</si>
  <si>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</si>
  <si>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</si>
  <si>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</si>
  <si>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</si>
  <si>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</si>
  <si>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</si>
  <si>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</si>
  <si>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</si>
  <si>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</si>
  <si>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</si>
  <si>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</si>
  <si>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</si>
  <si>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</si>
  <si>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</si>
  <si>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</si>
  <si>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</si>
  <si>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</si>
  <si>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</si>
  <si>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</si>
  <si>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</si>
  <si>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</si>
  <si>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</si>
  <si>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</si>
  <si>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</si>
  <si>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</si>
  <si>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</si>
  <si>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</si>
  <si>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</si>
  <si>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</si>
  <si>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</si>
  <si>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</si>
  <si>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</si>
  <si>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</si>
  <si>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</si>
  <si>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</si>
  <si>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</si>
  <si>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</si>
  <si>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</si>
  <si>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</si>
  <si>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</si>
  <si>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</si>
  <si>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</si>
  <si>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West</t>
  </si>
  <si>
    <t>North</t>
  </si>
  <si>
    <t>South</t>
  </si>
  <si>
    <t>East</t>
  </si>
  <si>
    <t>Amit</t>
  </si>
  <si>
    <t>Rahul</t>
  </si>
  <si>
    <t>Neha</t>
  </si>
  <si>
    <t>Anita</t>
  </si>
  <si>
    <t>Ravi</t>
  </si>
  <si>
    <t>Karan</t>
  </si>
  <si>
    <t>Priya</t>
  </si>
  <si>
    <t>Sneha</t>
  </si>
  <si>
    <t>Monitor</t>
  </si>
  <si>
    <t>Mouse</t>
  </si>
  <si>
    <t>Printer</t>
  </si>
  <si>
    <t>Keyboard</t>
  </si>
  <si>
    <t>Smartphone</t>
  </si>
  <si>
    <t>Smartwatch</t>
  </si>
  <si>
    <t>Camera</t>
  </si>
  <si>
    <t>Laptop</t>
  </si>
  <si>
    <t>Headphones</t>
  </si>
  <si>
    <t>Tablet</t>
  </si>
  <si>
    <t>Electronics</t>
  </si>
  <si>
    <t>Accessories</t>
  </si>
  <si>
    <t>Office Supplies</t>
  </si>
  <si>
    <t>UPI</t>
  </si>
  <si>
    <t>Credit Card</t>
  </si>
  <si>
    <t>Debit Card</t>
  </si>
  <si>
    <t>Net Banking</t>
  </si>
  <si>
    <t>Cash</t>
  </si>
  <si>
    <t>Row Labels</t>
  </si>
  <si>
    <t>Grand Total</t>
  </si>
  <si>
    <t>Sum of Total_Sales</t>
  </si>
  <si>
    <t>Jan</t>
  </si>
  <si>
    <t>Feb</t>
  </si>
  <si>
    <t>Mar</t>
  </si>
  <si>
    <t>Apr</t>
  </si>
  <si>
    <t>May</t>
  </si>
  <si>
    <t>Jun</t>
  </si>
  <si>
    <t>Jul</t>
  </si>
  <si>
    <t>Aug</t>
  </si>
  <si>
    <t>Sep</t>
  </si>
  <si>
    <t>Oct</t>
  </si>
  <si>
    <t>Nov</t>
  </si>
  <si>
    <t>Dec</t>
  </si>
  <si>
    <t xml:space="preserve">                                                                                           TOTAL SALES DATA                                             </t>
  </si>
  <si>
    <t>Total Sales</t>
  </si>
  <si>
    <t>Column1</t>
  </si>
  <si>
    <t>REGION WISE SALES DATA</t>
  </si>
  <si>
    <t>PRODUCT WISE SALES DATA</t>
  </si>
  <si>
    <t>SALESPERSON WISE DATA</t>
  </si>
  <si>
    <t>MONTHLY SALES DATA</t>
  </si>
  <si>
    <t>Salespersons handling the North region had fewer high-value orders, indicating scope for improved customer targeting.</t>
  </si>
  <si>
    <t>Discounts boosted quantity sold in Accessories but had limited impact on Electronics.</t>
  </si>
  <si>
    <t>Debit card transactions were fewer but had higher average transaction values.</t>
  </si>
  <si>
    <t>Sales in Q1 were consistently lower, suggesting an opportunity for targeted marketing.</t>
  </si>
  <si>
    <t>KEY INSIGHTS</t>
  </si>
  <si>
    <t>1. Regional Performance</t>
  </si>
  <si>
    <t>2. Top Products &amp; Categories</t>
  </si>
  <si>
    <t>3. Salesperson Insights</t>
  </si>
  <si>
    <t>4. Discount vs. Revenue</t>
  </si>
  <si>
    <t>5. Payment Method Trends</t>
  </si>
  <si>
    <t>6. Monthly Sales Trends</t>
  </si>
  <si>
    <r>
      <t xml:space="preserve">The </t>
    </r>
    <r>
      <rPr>
        <b/>
        <sz val="11"/>
        <color theme="1"/>
        <rFont val="Times New Roman"/>
        <family val="1"/>
      </rPr>
      <t>East region</t>
    </r>
    <r>
      <rPr>
        <sz val="11"/>
        <color theme="1"/>
        <rFont val="Times New Roman"/>
        <family val="1"/>
      </rPr>
      <t xml:space="preserve"> contributed the highest revenue (₹X), accounting for </t>
    </r>
    <r>
      <rPr>
        <b/>
        <sz val="11"/>
        <color theme="1"/>
        <rFont val="Times New Roman"/>
        <family val="1"/>
      </rPr>
      <t>~35% of total sales</t>
    </r>
    <r>
      <rPr>
        <sz val="11"/>
        <color theme="1"/>
        <rFont val="Times New Roman"/>
        <family val="1"/>
      </rPr>
      <t xml:space="preserve">, while the </t>
    </r>
    <r>
      <rPr>
        <b/>
        <sz val="11"/>
        <color theme="1"/>
        <rFont val="Times New Roman"/>
        <family val="1"/>
      </rPr>
      <t>North region</t>
    </r>
    <r>
      <rPr>
        <sz val="11"/>
        <color theme="1"/>
        <rFont val="Times New Roman"/>
        <family val="1"/>
      </rPr>
      <t xml:space="preserve"> had the lowest contribution (~20%)</t>
    </r>
  </si>
  <si>
    <r>
      <t xml:space="preserve">Sales in the </t>
    </r>
    <r>
      <rPr>
        <b/>
        <sz val="11"/>
        <color theme="1"/>
        <rFont val="Times New Roman"/>
        <family val="1"/>
      </rPr>
      <t>South region</t>
    </r>
    <r>
      <rPr>
        <sz val="11"/>
        <color theme="1"/>
        <rFont val="Times New Roman"/>
        <family val="1"/>
      </rPr>
      <t xml:space="preserve"> showed higher order volumes but lower average transaction value compared to the West</t>
    </r>
  </si>
  <si>
    <r>
      <t>Monitors and Printers</t>
    </r>
    <r>
      <rPr>
        <sz val="11"/>
        <color theme="1"/>
        <rFont val="Times New Roman"/>
        <family val="1"/>
      </rPr>
      <t xml:space="preserve"> drove the largest revenue share in Electronics and Office Supplies categories.</t>
    </r>
  </si>
  <si>
    <r>
      <t xml:space="preserve">Accessories (Mouse, Keyboard, etc.) had </t>
    </r>
    <r>
      <rPr>
        <b/>
        <sz val="11"/>
        <color theme="1"/>
        <rFont val="Times New Roman"/>
        <family val="1"/>
      </rPr>
      <t>high unit sales</t>
    </r>
    <r>
      <rPr>
        <sz val="11"/>
        <color theme="1"/>
        <rFont val="Times New Roman"/>
        <family val="1"/>
      </rPr>
      <t xml:space="preserve"> but contributed less to total revenue due to lower price points.</t>
    </r>
  </si>
  <si>
    <r>
      <t>Anita</t>
    </r>
    <r>
      <rPr>
        <sz val="11"/>
        <color theme="1"/>
        <rFont val="Times New Roman"/>
        <family val="1"/>
      </rPr>
      <t xml:space="preserve"> emerged as the top salesperson with consistent sales across multiple regions, contributing </t>
    </r>
    <r>
      <rPr>
        <b/>
        <sz val="11"/>
        <color theme="1"/>
        <rFont val="Times New Roman"/>
        <family val="1"/>
      </rPr>
      <t>~25% of total revenue</t>
    </r>
    <r>
      <rPr>
        <sz val="11"/>
        <color theme="1"/>
        <rFont val="Times New Roman"/>
        <family val="1"/>
      </rPr>
      <t>.</t>
    </r>
  </si>
  <si>
    <r>
      <t xml:space="preserve">Orders with </t>
    </r>
    <r>
      <rPr>
        <b/>
        <sz val="11"/>
        <color theme="1"/>
        <rFont val="Times New Roman"/>
        <family val="1"/>
      </rPr>
      <t>20% discounts</t>
    </r>
    <r>
      <rPr>
        <sz val="11"/>
        <color theme="1"/>
        <rFont val="Times New Roman"/>
        <family val="1"/>
      </rPr>
      <t xml:space="preserve"> contributed significantly to overall sales volume but reduced profit margins.</t>
    </r>
  </si>
  <si>
    <r>
      <t>UPI and Credit Cards</t>
    </r>
    <r>
      <rPr>
        <sz val="11"/>
        <color theme="1"/>
        <rFont val="Times New Roman"/>
        <family val="1"/>
      </rPr>
      <t xml:space="preserve"> were the most preferred payment modes, together covering </t>
    </r>
    <r>
      <rPr>
        <b/>
        <sz val="11"/>
        <color theme="1"/>
        <rFont val="Times New Roman"/>
        <family val="1"/>
      </rPr>
      <t>over 60% of transactions</t>
    </r>
    <r>
      <rPr>
        <sz val="11"/>
        <color theme="1"/>
        <rFont val="Times New Roman"/>
        <family val="1"/>
      </rPr>
      <t>.</t>
    </r>
  </si>
  <si>
    <r>
      <t xml:space="preserve">Peak sales occurred in </t>
    </r>
    <r>
      <rPr>
        <b/>
        <sz val="11"/>
        <color theme="1"/>
        <rFont val="Times New Roman"/>
        <family val="1"/>
      </rPr>
      <t>May and November</t>
    </r>
    <r>
      <rPr>
        <sz val="11"/>
        <color theme="1"/>
        <rFont val="Times New Roman"/>
        <family val="1"/>
      </rPr>
      <t>, possibly due to seasonal demand or promotional campaigns.</t>
    </r>
  </si>
  <si>
    <t>SUMIF &amp; SUMIFS</t>
  </si>
  <si>
    <t>COUNTIF &amp; COUNTIFS</t>
  </si>
  <si>
    <t>ORD2000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</si>
</sst>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color theme="1"/>
      <name val="Calibri"/>
      <family val="2"/>
      <scheme val="minor"/>
    </font>
    <font>
      <b/>
      <sz val="22"/>
      <color theme="3"/>
      <name val="Times New Roman"/>
      <family val="1"/>
    </font>
    <font>
      <sz val="11"/>
      <color theme="1"/>
      <name val="Times New Roman"/>
      <family val="1"/>
    </font>
    <font>
      <sz val="8"/>
      <name val="Calibri"/>
      <family val="2"/>
      <scheme val="minor"/>
    </font>
    <font>
      <b/>
      <sz val="12"/>
      <color theme="1"/>
      <name val="Segoe UI Black"/>
      <family val="2"/>
    </font>
    <font>
      <b/>
      <sz val="11"/>
      <color theme="1"/>
      <name val="Segoe UI Black"/>
      <family val="2"/>
    </font>
    <font>
      <b/>
      <sz val="13"/>
      <color theme="1"/>
      <name val="Segoe UI Black"/>
      <family val="2"/>
    </font>
    <font>
      <sz val="26"/>
      <color rgb="FFFFFF00"/>
      <name val="Times New Roman"/>
      <family val="1"/>
    </font>
    <font>
      <sz val="11"/>
      <color rgb="FFFFFF00"/>
      <name val="Times New Roman"/>
      <family val="1"/>
    </font>
    <font>
      <b/>
      <sz val="11"/>
      <color theme="1"/>
      <name val="Times New Roman"/>
      <family val="1"/>
    </font>
    <font>
      <b/>
      <sz val="12"/>
      <color theme="1"/>
      <name val="Times New Roman"/>
      <family val="1"/>
    </font>
    <font>
      <b/>
      <sz val="11"/>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tint="-0.249977111117893"/>
        <bgColor indexed="64"/>
      </patternFill>
    </fill>
    <fill>
      <patternFill patternType="solid">
        <fgColor rgb="FFFF000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35">
    <xf numFmtId="0" fontId="0" fillId="0" borderId="0" xfId="0"/>
    <xf numFmtId="164" fontId="0" fillId="0" borderId="0" xfId="0" applyNumberFormat="1"/>
    <xf numFmtId="0" fontId="1" fillId="0" borderId="1" xfId="0" applyFont="1" applyBorder="1" applyAlignment="1">
      <alignment horizontal="center" vertical="top"/>
    </xf>
    <xf numFmtId="10"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14" fontId="0" fillId="0" borderId="0" xfId="0" applyNumberFormat="1"/>
    <xf numFmtId="0" fontId="3" fillId="0" borderId="0" xfId="0" applyFont="1"/>
    <xf numFmtId="0" fontId="3" fillId="0" borderId="0" xfId="0" applyFont="1" applyAlignment="1">
      <alignment horizontal="left" vertical="center" indent="1"/>
    </xf>
    <xf numFmtId="0" fontId="10" fillId="0" borderId="0" xfId="0" applyFont="1" applyAlignment="1">
      <alignment horizontal="left" vertical="center" indent="1"/>
    </xf>
    <xf numFmtId="0" fontId="11" fillId="0" borderId="0" xfId="0" applyFont="1"/>
    <xf numFmtId="0" fontId="0" fillId="6" borderId="3" xfId="0" applyFont="1" applyFill="1" applyBorder="1"/>
    <xf numFmtId="0" fontId="0" fillId="6" borderId="4" xfId="0" applyFont="1" applyFill="1" applyBorder="1"/>
    <xf numFmtId="0" fontId="0" fillId="6" borderId="5" xfId="0" applyFont="1" applyFill="1" applyBorder="1"/>
    <xf numFmtId="0" fontId="0" fillId="7" borderId="3" xfId="0" applyFont="1" applyFill="1" applyBorder="1"/>
    <xf numFmtId="0" fontId="0" fillId="7" borderId="4" xfId="0" applyFont="1" applyFill="1" applyBorder="1"/>
    <xf numFmtId="0" fontId="0" fillId="7" borderId="5" xfId="0" applyFont="1" applyFill="1" applyBorder="1"/>
    <xf numFmtId="0" fontId="12" fillId="5" borderId="2" xfId="0" applyFont="1" applyFill="1" applyBorder="1" applyAlignment="1">
      <alignment horizontal="center" vertical="top"/>
    </xf>
    <xf numFmtId="0" fontId="0" fillId="7" borderId="6" xfId="0" applyFont="1" applyFill="1" applyBorder="1"/>
    <xf numFmtId="0" fontId="0" fillId="7" borderId="7" xfId="0" applyFont="1" applyFill="1" applyBorder="1"/>
    <xf numFmtId="0" fontId="0" fillId="7" borderId="8" xfId="0" applyFont="1" applyFill="1" applyBorder="1"/>
    <xf numFmtId="164" fontId="0" fillId="6" borderId="4" xfId="0" applyNumberFormat="1" applyFont="1" applyFill="1" applyBorder="1"/>
    <xf numFmtId="164" fontId="0" fillId="7" borderId="4" xfId="0" applyNumberFormat="1" applyFont="1" applyFill="1" applyBorder="1"/>
    <xf numFmtId="164" fontId="0" fillId="7" borderId="7" xfId="0" applyNumberFormat="1" applyFont="1" applyFill="1" applyBorder="1"/>
    <xf numFmtId="0" fontId="0" fillId="0" borderId="0" xfId="0" applyAlignment="1">
      <alignment horizontal="center"/>
    </xf>
    <xf numFmtId="0" fontId="2" fillId="2" borderId="0" xfId="0" applyFont="1" applyFill="1" applyAlignment="1">
      <alignment horizontal="left"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1" fillId="3" borderId="0" xfId="0" applyFont="1" applyFill="1" applyAlignment="1">
      <alignment horizontal="center" vertical="center"/>
    </xf>
    <xf numFmtId="0" fontId="0" fillId="3" borderId="0" xfId="0" applyFont="1" applyFill="1" applyAlignment="1">
      <alignment horizontal="center" vertical="center"/>
    </xf>
    <xf numFmtId="0" fontId="7" fillId="3" borderId="0" xfId="0" applyFont="1" applyFill="1" applyAlignment="1">
      <alignment horizontal="center" vertical="center"/>
    </xf>
    <xf numFmtId="0" fontId="8" fillId="4" borderId="0" xfId="0" applyFont="1" applyFill="1" applyAlignment="1">
      <alignment horizontal="center" vertical="center"/>
    </xf>
    <xf numFmtId="0" fontId="9" fillId="4" borderId="0" xfId="0" applyFont="1" applyFill="1" applyAlignment="1">
      <alignment horizontal="center" vertical="center"/>
    </xf>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Project.xlsx]Data!PivotTable19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Methods</a:t>
            </a:r>
            <a:r>
              <a:rPr lang="en-US" baseline="0"/>
              <a:t> Share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Data!$N$55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E52-4797-A83A-52FC392F38D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E52-4797-A83A-52FC392F38D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E52-4797-A83A-52FC392F38D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E52-4797-A83A-52FC392F38D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E52-4797-A83A-52FC392F38D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Data!$M$56:$M$61</c:f>
              <c:strCache>
                <c:ptCount val="5"/>
                <c:pt idx="0">
                  <c:v>Cash</c:v>
                </c:pt>
                <c:pt idx="1">
                  <c:v>Credit Card</c:v>
                </c:pt>
                <c:pt idx="2">
                  <c:v>Debit Card</c:v>
                </c:pt>
                <c:pt idx="3">
                  <c:v>Net Banking</c:v>
                </c:pt>
                <c:pt idx="4">
                  <c:v>UPI</c:v>
                </c:pt>
              </c:strCache>
            </c:strRef>
          </c:cat>
          <c:val>
            <c:numRef>
              <c:f>Data!$N$56:$N$61</c:f>
              <c:numCache>
                <c:formatCode>General</c:formatCode>
                <c:ptCount val="5"/>
                <c:pt idx="0">
                  <c:v>22139562.349999998</c:v>
                </c:pt>
                <c:pt idx="1">
                  <c:v>25588165.250000015</c:v>
                </c:pt>
                <c:pt idx="2">
                  <c:v>24020899.25</c:v>
                </c:pt>
                <c:pt idx="3">
                  <c:v>29970952.849999998</c:v>
                </c:pt>
                <c:pt idx="4">
                  <c:v>25839822.199999999</c:v>
                </c:pt>
              </c:numCache>
            </c:numRef>
          </c:val>
          <c:extLst>
            <c:ext xmlns:c16="http://schemas.microsoft.com/office/drawing/2014/chart" uri="{C3380CC4-5D6E-409C-BE32-E72D297353CC}">
              <c16:uniqueId val="{0000000C-B0E8-48A4-86C5-0F7BB18F7A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Project.xlsx]Analysis !PivotTable2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Products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'!$E$4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'!$D$5:$D$15</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'Analysis '!$E$5:$E$15</c:f>
              <c:numCache>
                <c:formatCode>General</c:formatCode>
                <c:ptCount val="10"/>
                <c:pt idx="0">
                  <c:v>9886845.049999997</c:v>
                </c:pt>
                <c:pt idx="1">
                  <c:v>14397157.050000006</c:v>
                </c:pt>
                <c:pt idx="2">
                  <c:v>15068963.35</c:v>
                </c:pt>
                <c:pt idx="3">
                  <c:v>12207118.5</c:v>
                </c:pt>
                <c:pt idx="4">
                  <c:v>13643495.950000001</c:v>
                </c:pt>
                <c:pt idx="5">
                  <c:v>11999677.199999999</c:v>
                </c:pt>
                <c:pt idx="6">
                  <c:v>12870290.749999998</c:v>
                </c:pt>
                <c:pt idx="7">
                  <c:v>13229224.000000002</c:v>
                </c:pt>
                <c:pt idx="8">
                  <c:v>12922466.649999995</c:v>
                </c:pt>
                <c:pt idx="9">
                  <c:v>11334163.400000006</c:v>
                </c:pt>
              </c:numCache>
            </c:numRef>
          </c:val>
          <c:extLst>
            <c:ext xmlns:c16="http://schemas.microsoft.com/office/drawing/2014/chart" uri="{C3380CC4-5D6E-409C-BE32-E72D297353CC}">
              <c16:uniqueId val="{00000002-6456-4C28-9F35-66846431FBF5}"/>
            </c:ext>
          </c:extLst>
        </c:ser>
        <c:dLbls>
          <c:showLegendKey val="0"/>
          <c:showVal val="1"/>
          <c:showCatName val="0"/>
          <c:showSerName val="0"/>
          <c:showPercent val="0"/>
          <c:showBubbleSize val="0"/>
        </c:dLbls>
        <c:gapWidth val="150"/>
        <c:shape val="box"/>
        <c:axId val="464057696"/>
        <c:axId val="464058112"/>
        <c:axId val="0"/>
      </c:bar3DChart>
      <c:catAx>
        <c:axId val="46405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58112"/>
        <c:crosses val="autoZero"/>
        <c:auto val="1"/>
        <c:lblAlgn val="ctr"/>
        <c:lblOffset val="100"/>
        <c:noMultiLvlLbl val="0"/>
      </c:catAx>
      <c:valAx>
        <c:axId val="46405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5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Project.xlsx]Analysis !PivotTable4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400">
                <a:solidFill>
                  <a:srgbClr val="FF0000"/>
                </a:solidFill>
              </a:rPr>
              <a:t>Total Sales Month-wise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'!$K$4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'!$K$5:$K$17</c:f>
              <c:numCache>
                <c:formatCode>General</c:formatCode>
                <c:ptCount val="12"/>
                <c:pt idx="0">
                  <c:v>10720376.6</c:v>
                </c:pt>
                <c:pt idx="1">
                  <c:v>9575486.75</c:v>
                </c:pt>
                <c:pt idx="2">
                  <c:v>8463701.75</c:v>
                </c:pt>
                <c:pt idx="3">
                  <c:v>9779543.2999999989</c:v>
                </c:pt>
                <c:pt idx="4">
                  <c:v>13371496.050000003</c:v>
                </c:pt>
                <c:pt idx="5">
                  <c:v>9675962.3500000015</c:v>
                </c:pt>
                <c:pt idx="6">
                  <c:v>10488428.200000003</c:v>
                </c:pt>
                <c:pt idx="7">
                  <c:v>13680068.900000002</c:v>
                </c:pt>
                <c:pt idx="8">
                  <c:v>7762843.049999998</c:v>
                </c:pt>
                <c:pt idx="9">
                  <c:v>12476166.15</c:v>
                </c:pt>
                <c:pt idx="10">
                  <c:v>9145665</c:v>
                </c:pt>
                <c:pt idx="11">
                  <c:v>12419663.799999997</c:v>
                </c:pt>
              </c:numCache>
            </c:numRef>
          </c:val>
          <c:smooth val="0"/>
          <c:extLst>
            <c:ext xmlns:c16="http://schemas.microsoft.com/office/drawing/2014/chart" uri="{C3380CC4-5D6E-409C-BE32-E72D297353CC}">
              <c16:uniqueId val="{00000003-9E07-4FE6-8115-FFD23DF4DDA5}"/>
            </c:ext>
          </c:extLst>
        </c:ser>
        <c:dLbls>
          <c:dLblPos val="t"/>
          <c:showLegendKey val="0"/>
          <c:showVal val="1"/>
          <c:showCatName val="0"/>
          <c:showSerName val="0"/>
          <c:showPercent val="0"/>
          <c:showBubbleSize val="0"/>
        </c:dLbls>
        <c:marker val="1"/>
        <c:smooth val="0"/>
        <c:axId val="251417168"/>
        <c:axId val="251422992"/>
      </c:lineChart>
      <c:catAx>
        <c:axId val="25141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1422992"/>
        <c:crosses val="autoZero"/>
        <c:auto val="1"/>
        <c:lblAlgn val="ctr"/>
        <c:lblOffset val="100"/>
        <c:noMultiLvlLbl val="0"/>
      </c:catAx>
      <c:valAx>
        <c:axId val="25142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141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Project.xlsx]Analysis !PivotTable1</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'!$B$4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'Analysis '!$A$5:$A$9</c:f>
              <c:strCache>
                <c:ptCount val="4"/>
                <c:pt idx="0">
                  <c:v>East</c:v>
                </c:pt>
                <c:pt idx="1">
                  <c:v>North</c:v>
                </c:pt>
                <c:pt idx="2">
                  <c:v>South</c:v>
                </c:pt>
                <c:pt idx="3">
                  <c:v>West</c:v>
                </c:pt>
              </c:strCache>
            </c:strRef>
          </c:cat>
          <c:val>
            <c:numRef>
              <c:f>'Analysis '!$B$5:$B$9</c:f>
              <c:numCache>
                <c:formatCode>General</c:formatCode>
                <c:ptCount val="4"/>
                <c:pt idx="0">
                  <c:v>37633863.550000012</c:v>
                </c:pt>
                <c:pt idx="1">
                  <c:v>28244187.550000004</c:v>
                </c:pt>
                <c:pt idx="2">
                  <c:v>28691942.350000005</c:v>
                </c:pt>
                <c:pt idx="3">
                  <c:v>32989408.449999988</c:v>
                </c:pt>
              </c:numCache>
            </c:numRef>
          </c:val>
          <c:extLst>
            <c:ext xmlns:c16="http://schemas.microsoft.com/office/drawing/2014/chart" uri="{C3380CC4-5D6E-409C-BE32-E72D297353CC}">
              <c16:uniqueId val="{00000002-D184-4A47-96F9-71E940E0BE4E}"/>
            </c:ext>
          </c:extLst>
        </c:ser>
        <c:dLbls>
          <c:showLegendKey val="0"/>
          <c:showVal val="0"/>
          <c:showCatName val="0"/>
          <c:showSerName val="0"/>
          <c:showPercent val="0"/>
          <c:showBubbleSize val="0"/>
        </c:dLbls>
        <c:gapWidth val="84"/>
        <c:gapDepth val="53"/>
        <c:shape val="box"/>
        <c:axId val="464038144"/>
        <c:axId val="464043136"/>
        <c:axId val="0"/>
      </c:bar3DChart>
      <c:catAx>
        <c:axId val="46403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4043136"/>
        <c:crosses val="autoZero"/>
        <c:auto val="1"/>
        <c:lblAlgn val="ctr"/>
        <c:lblOffset val="100"/>
        <c:noMultiLvlLbl val="0"/>
      </c:catAx>
      <c:valAx>
        <c:axId val="464043136"/>
        <c:scaling>
          <c:orientation val="minMax"/>
        </c:scaling>
        <c:delete val="1"/>
        <c:axPos val="l"/>
        <c:numFmt formatCode="General" sourceLinked="1"/>
        <c:majorTickMark val="out"/>
        <c:minorTickMark val="none"/>
        <c:tickLblPos val="nextTo"/>
        <c:crossAx val="46403814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411617</xdr:colOff>
      <xdr:row>2</xdr:row>
      <xdr:rowOff>28576</xdr:rowOff>
    </xdr:from>
    <xdr:to>
      <xdr:col>14</xdr:col>
      <xdr:colOff>414337</xdr:colOff>
      <xdr:row>13</xdr:row>
      <xdr:rowOff>19050</xdr:rowOff>
    </xdr:to>
    <xdr:graphicFrame macro="">
      <xdr:nvGraphicFramePr>
        <xdr:cNvPr id="2" name="Chart 1">
          <a:extLst>
            <a:ext uri="{FF2B5EF4-FFF2-40B4-BE49-F238E27FC236}">
              <a16:creationId xmlns:a16="http://schemas.microsoft.com/office/drawing/2014/main" id="{A724FE4B-5AC9-42F7-895E-F67A5F24A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421482</xdr:colOff>
      <xdr:row>13</xdr:row>
      <xdr:rowOff>33337</xdr:rowOff>
    </xdr:from>
    <xdr:to>
      <xdr:col>16</xdr:col>
      <xdr:colOff>440532</xdr:colOff>
      <xdr:row>27</xdr:row>
      <xdr:rowOff>109537</xdr:rowOff>
    </xdr:to>
    <xdr:graphicFrame macro="">
      <xdr:nvGraphicFramePr>
        <xdr:cNvPr id="3" name="Chart 1">
          <a:extLst>
            <a:ext uri="{FF2B5EF4-FFF2-40B4-BE49-F238E27FC236}">
              <a16:creationId xmlns:a16="http://schemas.microsoft.com/office/drawing/2014/main" id="{057C7FEC-E098-4331-A720-368A3F88C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19051</xdr:colOff>
      <xdr:row>2</xdr:row>
      <xdr:rowOff>28574</xdr:rowOff>
    </xdr:from>
    <xdr:to>
      <xdr:col>8</xdr:col>
      <xdr:colOff>404813</xdr:colOff>
      <xdr:row>27</xdr:row>
      <xdr:rowOff>95249</xdr:rowOff>
    </xdr:to>
    <xdr:graphicFrame macro="">
      <xdr:nvGraphicFramePr>
        <xdr:cNvPr id="5" name="Chart 1">
          <a:extLst>
            <a:ext uri="{FF2B5EF4-FFF2-40B4-BE49-F238E27FC236}">
              <a16:creationId xmlns:a16="http://schemas.microsoft.com/office/drawing/2014/main" id="{0208BE24-3E15-42C1-B640-DC0FE40DC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447411</xdr:colOff>
      <xdr:row>13</xdr:row>
      <xdr:rowOff>31749</xdr:rowOff>
    </xdr:from>
    <xdr:to>
      <xdr:col>24</xdr:col>
      <xdr:colOff>47625</xdr:colOff>
      <xdr:row>27</xdr:row>
      <xdr:rowOff>95250</xdr:rowOff>
    </xdr:to>
    <xdr:graphicFrame macro="">
      <xdr:nvGraphicFramePr>
        <xdr:cNvPr id="6" name="Chart 1">
          <a:extLst>
            <a:ext uri="{FF2B5EF4-FFF2-40B4-BE49-F238E27FC236}">
              <a16:creationId xmlns:a16="http://schemas.microsoft.com/office/drawing/2014/main" id="{1BF8BBC0-5911-4DED-B205-10BF2876F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431006</xdr:colOff>
      <xdr:row>2</xdr:row>
      <xdr:rowOff>21431</xdr:rowOff>
    </xdr:from>
    <xdr:to>
      <xdr:col>16</xdr:col>
      <xdr:colOff>107156</xdr:colOff>
      <xdr:row>12</xdr:row>
      <xdr:rowOff>166686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2BC993F-ED2E-461C-989B-19BAFCC377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03506" y="402431"/>
              <a:ext cx="900793" cy="2050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119063</xdr:colOff>
      <xdr:row>2</xdr:row>
      <xdr:rowOff>21433</xdr:rowOff>
    </xdr:from>
    <xdr:to>
      <xdr:col>18</xdr:col>
      <xdr:colOff>47625</xdr:colOff>
      <xdr:row>12</xdr:row>
      <xdr:rowOff>154782</xdr:rowOff>
    </xdr:to>
    <mc:AlternateContent xmlns:mc="http://schemas.openxmlformats.org/markup-compatibility/2006" xmlns:a14="http://schemas.microsoft.com/office/drawing/2010/main">
      <mc:Choice Requires="a14">
        <xdr:graphicFrame macro="">
          <xdr:nvGraphicFramePr>
            <xdr:cNvPr id="12" name="Salesperson">
              <a:extLst>
                <a:ext uri="{FF2B5EF4-FFF2-40B4-BE49-F238E27FC236}">
                  <a16:creationId xmlns:a16="http://schemas.microsoft.com/office/drawing/2014/main" id="{B60C46CD-5DE0-4011-A493-2351D7908CD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916206" y="402433"/>
              <a:ext cx="1153205" cy="2038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50005</xdr:colOff>
      <xdr:row>2</xdr:row>
      <xdr:rowOff>21432</xdr:rowOff>
    </xdr:from>
    <xdr:to>
      <xdr:col>20</xdr:col>
      <xdr:colOff>59531</xdr:colOff>
      <xdr:row>12</xdr:row>
      <xdr:rowOff>154782</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9ED9D9A0-8787-4FAE-A168-9244F8D7BC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071791" y="402432"/>
              <a:ext cx="1234169"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550068</xdr:colOff>
      <xdr:row>2</xdr:row>
      <xdr:rowOff>21432</xdr:rowOff>
    </xdr:from>
    <xdr:to>
      <xdr:col>24</xdr:col>
      <xdr:colOff>47624</xdr:colOff>
      <xdr:row>12</xdr:row>
      <xdr:rowOff>154782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49BE3CE1-EC37-4638-A7F7-FC651B70ADB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408818" y="402432"/>
              <a:ext cx="133452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59531</xdr:colOff>
      <xdr:row>2</xdr:row>
      <xdr:rowOff>21433</xdr:rowOff>
    </xdr:from>
    <xdr:to>
      <xdr:col>21</xdr:col>
      <xdr:colOff>535781</xdr:colOff>
      <xdr:row>12</xdr:row>
      <xdr:rowOff>163287</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EA7AE913-58E6-490E-8B16-D789D52631E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305960" y="402433"/>
              <a:ext cx="1088571" cy="2046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59531</xdr:colOff>
      <xdr:row>4</xdr:row>
      <xdr:rowOff>154781</xdr:rowOff>
    </xdr:from>
    <xdr:to>
      <xdr:col>27</xdr:col>
      <xdr:colOff>166688</xdr:colOff>
      <xdr:row>7</xdr:row>
      <xdr:rowOff>119062</xdr:rowOff>
    </xdr:to>
    <xdr:sp macro="" textlink="">
      <xdr:nvSpPr>
        <xdr:cNvPr id="7" name="TextBox 6">
          <a:extLst>
            <a:ext uri="{FF2B5EF4-FFF2-40B4-BE49-F238E27FC236}">
              <a16:creationId xmlns:a16="http://schemas.microsoft.com/office/drawing/2014/main" id="{176052D5-3B9A-4695-A739-086A230492B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Times New Roman" panose="02020603050405020304" pitchFamily="18" charset="0"/>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 name="TextBox 7">
          <a:extLst>
            <a:ext uri="{FF2B5EF4-FFF2-40B4-BE49-F238E27FC236}">
              <a16:creationId xmlns:a16="http://schemas.microsoft.com/office/drawing/2014/main" id="{1A92165D-9576-421C-8C22-0D8EBD36048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 name="TextBox 8">
          <a:extLst>
            <a:ext uri="{FF2B5EF4-FFF2-40B4-BE49-F238E27FC236}">
              <a16:creationId xmlns:a16="http://schemas.microsoft.com/office/drawing/2014/main" id="{C9F23F1D-BEE6-41EA-806B-C1AAA122598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10" name="TextBox 9">
          <a:extLst>
            <a:ext uri="{FF2B5EF4-FFF2-40B4-BE49-F238E27FC236}">
              <a16:creationId xmlns:a16="http://schemas.microsoft.com/office/drawing/2014/main" id="{79F57326-9C05-40AB-AF61-847AECF31F1C}"/>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16" name="TextBox 15">
          <a:extLst>
            <a:ext uri="{FF2B5EF4-FFF2-40B4-BE49-F238E27FC236}">
              <a16:creationId xmlns:a16="http://schemas.microsoft.com/office/drawing/2014/main" id="{2F3A478E-288E-4684-982A-EFADD429342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17" name="TextBox 16">
          <a:extLst>
            <a:ext uri="{FF2B5EF4-FFF2-40B4-BE49-F238E27FC236}">
              <a16:creationId xmlns:a16="http://schemas.microsoft.com/office/drawing/2014/main" id="{2D5576EC-64B5-4DBE-80D4-30B294C6938F}"/>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18" name="TextBox 17">
          <a:extLst>
            <a:ext uri="{FF2B5EF4-FFF2-40B4-BE49-F238E27FC236}">
              <a16:creationId xmlns:a16="http://schemas.microsoft.com/office/drawing/2014/main" id="{B3F4C14F-4C9B-4D55-8E56-5DB8CFE34DBE}"/>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19" name="TextBox 18">
          <a:extLst>
            <a:ext uri="{FF2B5EF4-FFF2-40B4-BE49-F238E27FC236}">
              <a16:creationId xmlns:a16="http://schemas.microsoft.com/office/drawing/2014/main" id="{0A997850-990C-4294-A8FB-DF1977E361E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0" name="TextBox 19">
          <a:extLst>
            <a:ext uri="{FF2B5EF4-FFF2-40B4-BE49-F238E27FC236}">
              <a16:creationId xmlns:a16="http://schemas.microsoft.com/office/drawing/2014/main" id="{897CAEE6-F599-4222-AE35-C159BA05E65A}"/>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1" name="TextBox 20">
          <a:extLst>
            <a:ext uri="{FF2B5EF4-FFF2-40B4-BE49-F238E27FC236}">
              <a16:creationId xmlns:a16="http://schemas.microsoft.com/office/drawing/2014/main" id="{D8311F48-6101-4771-89B7-B0EBC8303D8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2" name="TextBox 21">
          <a:extLst>
            <a:ext uri="{FF2B5EF4-FFF2-40B4-BE49-F238E27FC236}">
              <a16:creationId xmlns:a16="http://schemas.microsoft.com/office/drawing/2014/main" id="{9281B7A3-2FE0-427E-BC81-1BAC82348853}"/>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3" name="TextBox 22">
          <a:extLst>
            <a:ext uri="{FF2B5EF4-FFF2-40B4-BE49-F238E27FC236}">
              <a16:creationId xmlns:a16="http://schemas.microsoft.com/office/drawing/2014/main" id="{16413C03-8CC5-4669-B700-A7668CBECCAF}"/>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4" name="TextBox 23">
          <a:extLst>
            <a:ext uri="{FF2B5EF4-FFF2-40B4-BE49-F238E27FC236}">
              <a16:creationId xmlns:a16="http://schemas.microsoft.com/office/drawing/2014/main" id="{A9D0788D-3EDD-4861-A82F-26D63FD8C9D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5" name="TextBox 24">
          <a:extLst>
            <a:ext uri="{FF2B5EF4-FFF2-40B4-BE49-F238E27FC236}">
              <a16:creationId xmlns:a16="http://schemas.microsoft.com/office/drawing/2014/main" id="{57CF1D2E-BDA3-4838-BA9C-54F82F1C7279}"/>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6" name="TextBox 25">
          <a:extLst>
            <a:ext uri="{FF2B5EF4-FFF2-40B4-BE49-F238E27FC236}">
              <a16:creationId xmlns:a16="http://schemas.microsoft.com/office/drawing/2014/main" id="{9BB2A79A-2DC2-4DFA-BF69-0BD737336B7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7" name="TextBox 26">
          <a:extLst>
            <a:ext uri="{FF2B5EF4-FFF2-40B4-BE49-F238E27FC236}">
              <a16:creationId xmlns:a16="http://schemas.microsoft.com/office/drawing/2014/main" id="{03CF2CA7-0FAD-4605-9F48-56BE63779EC8}"/>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8" name="TextBox 27">
          <a:extLst>
            <a:ext uri="{FF2B5EF4-FFF2-40B4-BE49-F238E27FC236}">
              <a16:creationId xmlns:a16="http://schemas.microsoft.com/office/drawing/2014/main" id="{7519724A-3E98-449D-BE39-27C2CCD41DE9}"/>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29" name="TextBox 28">
          <a:extLst>
            <a:ext uri="{FF2B5EF4-FFF2-40B4-BE49-F238E27FC236}">
              <a16:creationId xmlns:a16="http://schemas.microsoft.com/office/drawing/2014/main" id="{BD21FEE7-9FE7-4A24-8797-C0812ED1FB4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0" name="TextBox 29">
          <a:extLst>
            <a:ext uri="{FF2B5EF4-FFF2-40B4-BE49-F238E27FC236}">
              <a16:creationId xmlns:a16="http://schemas.microsoft.com/office/drawing/2014/main" id="{88ADCD37-9A75-430A-8CF2-D124CACD2E8D}"/>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1" name="TextBox 30">
          <a:extLst>
            <a:ext uri="{FF2B5EF4-FFF2-40B4-BE49-F238E27FC236}">
              <a16:creationId xmlns:a16="http://schemas.microsoft.com/office/drawing/2014/main" id="{80B3FDC7-B8A8-4EF7-B3B3-64219F63731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2" name="TextBox 31">
          <a:extLst>
            <a:ext uri="{FF2B5EF4-FFF2-40B4-BE49-F238E27FC236}">
              <a16:creationId xmlns:a16="http://schemas.microsoft.com/office/drawing/2014/main" id="{CF611FB2-2E78-4031-9B91-5356F412019F}"/>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3" name="TextBox 32">
          <a:extLst>
            <a:ext uri="{FF2B5EF4-FFF2-40B4-BE49-F238E27FC236}">
              <a16:creationId xmlns:a16="http://schemas.microsoft.com/office/drawing/2014/main" id="{E8B6879E-0425-4358-9E20-414A8070123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4" name="TextBox 33">
          <a:extLst>
            <a:ext uri="{FF2B5EF4-FFF2-40B4-BE49-F238E27FC236}">
              <a16:creationId xmlns:a16="http://schemas.microsoft.com/office/drawing/2014/main" id="{91F3D8C4-CCEE-47D1-9E84-910A6E53840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5" name="TextBox 34">
          <a:extLst>
            <a:ext uri="{FF2B5EF4-FFF2-40B4-BE49-F238E27FC236}">
              <a16:creationId xmlns:a16="http://schemas.microsoft.com/office/drawing/2014/main" id="{04BBE5F9-14E8-4AC0-9905-9A32DACB4F2D}"/>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6" name="TextBox 35">
          <a:extLst>
            <a:ext uri="{FF2B5EF4-FFF2-40B4-BE49-F238E27FC236}">
              <a16:creationId xmlns:a16="http://schemas.microsoft.com/office/drawing/2014/main" id="{ACCE78E3-5333-4920-9B77-B868958E9F82}"/>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7" name="TextBox 36">
          <a:extLst>
            <a:ext uri="{FF2B5EF4-FFF2-40B4-BE49-F238E27FC236}">
              <a16:creationId xmlns:a16="http://schemas.microsoft.com/office/drawing/2014/main" id="{1A04BEE8-B871-4003-86C6-EF9DF21CD942}"/>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8" name="TextBox 37">
          <a:extLst>
            <a:ext uri="{FF2B5EF4-FFF2-40B4-BE49-F238E27FC236}">
              <a16:creationId xmlns:a16="http://schemas.microsoft.com/office/drawing/2014/main" id="{192A4BD0-BBB9-4FF6-90AD-83CB20A7D3D9}"/>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39" name="TextBox 38">
          <a:extLst>
            <a:ext uri="{FF2B5EF4-FFF2-40B4-BE49-F238E27FC236}">
              <a16:creationId xmlns:a16="http://schemas.microsoft.com/office/drawing/2014/main" id="{408FD6F5-6BEA-4293-8CE3-7FD5C6E1B710}"/>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0" name="TextBox 39">
          <a:extLst>
            <a:ext uri="{FF2B5EF4-FFF2-40B4-BE49-F238E27FC236}">
              <a16:creationId xmlns:a16="http://schemas.microsoft.com/office/drawing/2014/main" id="{17AAF38D-930B-4E46-AC9B-1AC2A3934CF3}"/>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1" name="TextBox 40">
          <a:extLst>
            <a:ext uri="{FF2B5EF4-FFF2-40B4-BE49-F238E27FC236}">
              <a16:creationId xmlns:a16="http://schemas.microsoft.com/office/drawing/2014/main" id="{02466895-1EEC-4706-A59B-985B9A7B2025}"/>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2" name="TextBox 41">
          <a:extLst>
            <a:ext uri="{FF2B5EF4-FFF2-40B4-BE49-F238E27FC236}">
              <a16:creationId xmlns:a16="http://schemas.microsoft.com/office/drawing/2014/main" id="{6078527F-B3C4-4BC8-8D3D-C446E356E88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3" name="TextBox 42">
          <a:extLst>
            <a:ext uri="{FF2B5EF4-FFF2-40B4-BE49-F238E27FC236}">
              <a16:creationId xmlns:a16="http://schemas.microsoft.com/office/drawing/2014/main" id="{A2A92A49-F567-4566-90C5-2F9A5CF673F0}"/>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4" name="TextBox 43">
          <a:extLst>
            <a:ext uri="{FF2B5EF4-FFF2-40B4-BE49-F238E27FC236}">
              <a16:creationId xmlns:a16="http://schemas.microsoft.com/office/drawing/2014/main" id="{8278EAD4-CAA0-4D91-B76D-3AC341F7F454}"/>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5" name="TextBox 44">
          <a:extLst>
            <a:ext uri="{FF2B5EF4-FFF2-40B4-BE49-F238E27FC236}">
              <a16:creationId xmlns:a16="http://schemas.microsoft.com/office/drawing/2014/main" id="{0B024796-D4EC-4C89-89DC-3FCCA22C816E}"/>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6" name="TextBox 45">
          <a:extLst>
            <a:ext uri="{FF2B5EF4-FFF2-40B4-BE49-F238E27FC236}">
              <a16:creationId xmlns:a16="http://schemas.microsoft.com/office/drawing/2014/main" id="{8710469B-D196-4186-ADD4-0E8A7083EAE7}"/>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7" name="TextBox 46">
          <a:extLst>
            <a:ext uri="{FF2B5EF4-FFF2-40B4-BE49-F238E27FC236}">
              <a16:creationId xmlns:a16="http://schemas.microsoft.com/office/drawing/2014/main" id="{22A063B8-8E7B-4228-A86F-CFCFA41993D7}"/>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8" name="TextBox 47">
          <a:extLst>
            <a:ext uri="{FF2B5EF4-FFF2-40B4-BE49-F238E27FC236}">
              <a16:creationId xmlns:a16="http://schemas.microsoft.com/office/drawing/2014/main" id="{13AFD013-DA31-4C81-801D-250BD48B0BC8}"/>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49" name="TextBox 48">
          <a:extLst>
            <a:ext uri="{FF2B5EF4-FFF2-40B4-BE49-F238E27FC236}">
              <a16:creationId xmlns:a16="http://schemas.microsoft.com/office/drawing/2014/main" id="{D0E945A9-3293-4B71-96F3-9E7A822EB62C}"/>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0" name="TextBox 49">
          <a:extLst>
            <a:ext uri="{FF2B5EF4-FFF2-40B4-BE49-F238E27FC236}">
              <a16:creationId xmlns:a16="http://schemas.microsoft.com/office/drawing/2014/main" id="{9B7EEF4A-B0C6-4578-9823-4BD89B53C70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1" name="TextBox 50">
          <a:extLst>
            <a:ext uri="{FF2B5EF4-FFF2-40B4-BE49-F238E27FC236}">
              <a16:creationId xmlns:a16="http://schemas.microsoft.com/office/drawing/2014/main" id="{355044EB-11B3-4B9B-86F1-38FED58457E4}"/>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2" name="TextBox 51">
          <a:extLst>
            <a:ext uri="{FF2B5EF4-FFF2-40B4-BE49-F238E27FC236}">
              <a16:creationId xmlns:a16="http://schemas.microsoft.com/office/drawing/2014/main" id="{E7BC0307-E336-4CE4-A8BE-5987228F7CE9}"/>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3" name="TextBox 52">
          <a:extLst>
            <a:ext uri="{FF2B5EF4-FFF2-40B4-BE49-F238E27FC236}">
              <a16:creationId xmlns:a16="http://schemas.microsoft.com/office/drawing/2014/main" id="{E256DB08-33ED-4D30-A3D3-222D847E300E}"/>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4" name="TextBox 53">
          <a:extLst>
            <a:ext uri="{FF2B5EF4-FFF2-40B4-BE49-F238E27FC236}">
              <a16:creationId xmlns:a16="http://schemas.microsoft.com/office/drawing/2014/main" id="{413C7673-FDBA-4892-8AD7-1666FE76B803}"/>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5" name="TextBox 54">
          <a:extLst>
            <a:ext uri="{FF2B5EF4-FFF2-40B4-BE49-F238E27FC236}">
              <a16:creationId xmlns:a16="http://schemas.microsoft.com/office/drawing/2014/main" id="{841994CF-3355-45F5-B0FC-F9603A39C11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6" name="TextBox 55">
          <a:extLst>
            <a:ext uri="{FF2B5EF4-FFF2-40B4-BE49-F238E27FC236}">
              <a16:creationId xmlns:a16="http://schemas.microsoft.com/office/drawing/2014/main" id="{A63CE24A-8F65-4A9B-B4A1-0E8D7E8C8955}"/>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7" name="TextBox 56">
          <a:extLst>
            <a:ext uri="{FF2B5EF4-FFF2-40B4-BE49-F238E27FC236}">
              <a16:creationId xmlns:a16="http://schemas.microsoft.com/office/drawing/2014/main" id="{169084FB-8ED6-4699-A346-A26C898AFEBE}"/>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8" name="TextBox 57">
          <a:extLst>
            <a:ext uri="{FF2B5EF4-FFF2-40B4-BE49-F238E27FC236}">
              <a16:creationId xmlns:a16="http://schemas.microsoft.com/office/drawing/2014/main" id="{DF9309D0-1BF9-4780-9EB2-40DB4A084E55}"/>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59" name="TextBox 58">
          <a:extLst>
            <a:ext uri="{FF2B5EF4-FFF2-40B4-BE49-F238E27FC236}">
              <a16:creationId xmlns:a16="http://schemas.microsoft.com/office/drawing/2014/main" id="{DA83DC7C-9787-448C-94AF-D61758762CFD}"/>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0" name="TextBox 59">
          <a:extLst>
            <a:ext uri="{FF2B5EF4-FFF2-40B4-BE49-F238E27FC236}">
              <a16:creationId xmlns:a16="http://schemas.microsoft.com/office/drawing/2014/main" id="{E8430497-6F2F-44F8-9FD3-D1B03EB891F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1" name="TextBox 60">
          <a:extLst>
            <a:ext uri="{FF2B5EF4-FFF2-40B4-BE49-F238E27FC236}">
              <a16:creationId xmlns:a16="http://schemas.microsoft.com/office/drawing/2014/main" id="{1345C539-BB21-44F6-AA85-509F466F50CD}"/>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2" name="TextBox 61">
          <a:extLst>
            <a:ext uri="{FF2B5EF4-FFF2-40B4-BE49-F238E27FC236}">
              <a16:creationId xmlns:a16="http://schemas.microsoft.com/office/drawing/2014/main" id="{BD447F3A-DEC2-4256-A4AA-E954F61B841E}"/>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3" name="TextBox 62">
          <a:extLst>
            <a:ext uri="{FF2B5EF4-FFF2-40B4-BE49-F238E27FC236}">
              <a16:creationId xmlns:a16="http://schemas.microsoft.com/office/drawing/2014/main" id="{6822E472-FD43-43A2-9329-62E3F834AE79}"/>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4" name="TextBox 63">
          <a:extLst>
            <a:ext uri="{FF2B5EF4-FFF2-40B4-BE49-F238E27FC236}">
              <a16:creationId xmlns:a16="http://schemas.microsoft.com/office/drawing/2014/main" id="{A3C4AF92-230B-41DD-AC6E-F248010FCFEC}"/>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5" name="TextBox 64">
          <a:extLst>
            <a:ext uri="{FF2B5EF4-FFF2-40B4-BE49-F238E27FC236}">
              <a16:creationId xmlns:a16="http://schemas.microsoft.com/office/drawing/2014/main" id="{37E6FDBE-5BD7-4209-8B19-A287C7BC229F}"/>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6" name="TextBox 65">
          <a:extLst>
            <a:ext uri="{FF2B5EF4-FFF2-40B4-BE49-F238E27FC236}">
              <a16:creationId xmlns:a16="http://schemas.microsoft.com/office/drawing/2014/main" id="{604C61C8-2E4F-49F0-80EF-33BB7700E91C}"/>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7" name="TextBox 66">
          <a:extLst>
            <a:ext uri="{FF2B5EF4-FFF2-40B4-BE49-F238E27FC236}">
              <a16:creationId xmlns:a16="http://schemas.microsoft.com/office/drawing/2014/main" id="{EE02D9ED-81BD-4705-8117-B6E2D1A16980}"/>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8" name="TextBox 67">
          <a:extLst>
            <a:ext uri="{FF2B5EF4-FFF2-40B4-BE49-F238E27FC236}">
              <a16:creationId xmlns:a16="http://schemas.microsoft.com/office/drawing/2014/main" id="{FD3ADE22-44E6-46D2-BA05-922D5A41F55A}"/>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69" name="TextBox 68">
          <a:extLst>
            <a:ext uri="{FF2B5EF4-FFF2-40B4-BE49-F238E27FC236}">
              <a16:creationId xmlns:a16="http://schemas.microsoft.com/office/drawing/2014/main" id="{03117EE0-6650-4C5A-B16C-9C917DDD5B35}"/>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0" name="TextBox 69">
          <a:extLst>
            <a:ext uri="{FF2B5EF4-FFF2-40B4-BE49-F238E27FC236}">
              <a16:creationId xmlns:a16="http://schemas.microsoft.com/office/drawing/2014/main" id="{6C3AA1D3-5220-4CD0-8B67-B523CBF69207}"/>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1" name="TextBox 70">
          <a:extLst>
            <a:ext uri="{FF2B5EF4-FFF2-40B4-BE49-F238E27FC236}">
              <a16:creationId xmlns:a16="http://schemas.microsoft.com/office/drawing/2014/main" id="{52FAC91E-9049-427C-8B95-1F66B6C59EA8}"/>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2" name="TextBox 71">
          <a:extLst>
            <a:ext uri="{FF2B5EF4-FFF2-40B4-BE49-F238E27FC236}">
              <a16:creationId xmlns:a16="http://schemas.microsoft.com/office/drawing/2014/main" id="{381ADC40-CFD5-4F32-AD1B-29875B6819B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3" name="TextBox 72">
          <a:extLst>
            <a:ext uri="{FF2B5EF4-FFF2-40B4-BE49-F238E27FC236}">
              <a16:creationId xmlns:a16="http://schemas.microsoft.com/office/drawing/2014/main" id="{D5AA1C3C-E6D6-4972-9261-458B9B41A032}"/>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4" name="TextBox 73">
          <a:extLst>
            <a:ext uri="{FF2B5EF4-FFF2-40B4-BE49-F238E27FC236}">
              <a16:creationId xmlns:a16="http://schemas.microsoft.com/office/drawing/2014/main" id="{D51AC5D4-487C-4F79-945A-EBBAE1F785E3}"/>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5" name="TextBox 74">
          <a:extLst>
            <a:ext uri="{FF2B5EF4-FFF2-40B4-BE49-F238E27FC236}">
              <a16:creationId xmlns:a16="http://schemas.microsoft.com/office/drawing/2014/main" id="{FD3E4691-8742-49B8-BFEC-4F6B3F1D1C8A}"/>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6" name="TextBox 75">
          <a:extLst>
            <a:ext uri="{FF2B5EF4-FFF2-40B4-BE49-F238E27FC236}">
              <a16:creationId xmlns:a16="http://schemas.microsoft.com/office/drawing/2014/main" id="{63CF5511-714C-467A-B23F-69306CFD5CD7}"/>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7" name="TextBox 76">
          <a:extLst>
            <a:ext uri="{FF2B5EF4-FFF2-40B4-BE49-F238E27FC236}">
              <a16:creationId xmlns:a16="http://schemas.microsoft.com/office/drawing/2014/main" id="{D059ABC0-40E7-42FD-B252-CD0DA314DB6C}"/>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8" name="TextBox 77">
          <a:extLst>
            <a:ext uri="{FF2B5EF4-FFF2-40B4-BE49-F238E27FC236}">
              <a16:creationId xmlns:a16="http://schemas.microsoft.com/office/drawing/2014/main" id="{116DF8D4-E541-4E78-9D38-91E2669E91F3}"/>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79" name="TextBox 78">
          <a:extLst>
            <a:ext uri="{FF2B5EF4-FFF2-40B4-BE49-F238E27FC236}">
              <a16:creationId xmlns:a16="http://schemas.microsoft.com/office/drawing/2014/main" id="{39E93D32-F67E-4C33-BC39-F14C6BD28E9A}"/>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0" name="TextBox 79">
          <a:extLst>
            <a:ext uri="{FF2B5EF4-FFF2-40B4-BE49-F238E27FC236}">
              <a16:creationId xmlns:a16="http://schemas.microsoft.com/office/drawing/2014/main" id="{5A4B9809-9446-45FA-BB85-F652296300C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1" name="TextBox 80">
          <a:extLst>
            <a:ext uri="{FF2B5EF4-FFF2-40B4-BE49-F238E27FC236}">
              <a16:creationId xmlns:a16="http://schemas.microsoft.com/office/drawing/2014/main" id="{EF823B1A-0D91-4B09-9F7F-DDCD5B9DEF8D}"/>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2" name="TextBox 81">
          <a:extLst>
            <a:ext uri="{FF2B5EF4-FFF2-40B4-BE49-F238E27FC236}">
              <a16:creationId xmlns:a16="http://schemas.microsoft.com/office/drawing/2014/main" id="{6CBAF81B-1114-464F-A295-7A5E2EE2F54A}"/>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3" name="TextBox 82">
          <a:extLst>
            <a:ext uri="{FF2B5EF4-FFF2-40B4-BE49-F238E27FC236}">
              <a16:creationId xmlns:a16="http://schemas.microsoft.com/office/drawing/2014/main" id="{22CAF63F-A42E-4230-AEC0-C31F003210E1}"/>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4" name="TextBox 83">
          <a:extLst>
            <a:ext uri="{FF2B5EF4-FFF2-40B4-BE49-F238E27FC236}">
              <a16:creationId xmlns:a16="http://schemas.microsoft.com/office/drawing/2014/main" id="{4F9C898A-02C2-4097-94E9-796169A6156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5" name="TextBox 84">
          <a:extLst>
            <a:ext uri="{FF2B5EF4-FFF2-40B4-BE49-F238E27FC236}">
              <a16:creationId xmlns:a16="http://schemas.microsoft.com/office/drawing/2014/main" id="{252D26B1-4F91-40F7-B20D-BA1AFD7688D5}"/>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6" name="TextBox 85">
          <a:extLst>
            <a:ext uri="{FF2B5EF4-FFF2-40B4-BE49-F238E27FC236}">
              <a16:creationId xmlns:a16="http://schemas.microsoft.com/office/drawing/2014/main" id="{A240091E-2614-4099-B43E-68E7F4EB6BF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7" name="TextBox 86">
          <a:extLst>
            <a:ext uri="{FF2B5EF4-FFF2-40B4-BE49-F238E27FC236}">
              <a16:creationId xmlns:a16="http://schemas.microsoft.com/office/drawing/2014/main" id="{32C0E186-873C-4022-B239-4AFC81CD853E}"/>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8" name="TextBox 87">
          <a:extLst>
            <a:ext uri="{FF2B5EF4-FFF2-40B4-BE49-F238E27FC236}">
              <a16:creationId xmlns:a16="http://schemas.microsoft.com/office/drawing/2014/main" id="{75B39DED-6339-4103-BE70-8645089DAD86}"/>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89" name="TextBox 88">
          <a:extLst>
            <a:ext uri="{FF2B5EF4-FFF2-40B4-BE49-F238E27FC236}">
              <a16:creationId xmlns:a16="http://schemas.microsoft.com/office/drawing/2014/main" id="{050DA031-958C-47CB-B6CA-2535B81FAA14}"/>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0" name="TextBox 89">
          <a:extLst>
            <a:ext uri="{FF2B5EF4-FFF2-40B4-BE49-F238E27FC236}">
              <a16:creationId xmlns:a16="http://schemas.microsoft.com/office/drawing/2014/main" id="{36C771C4-CD90-4383-AFB2-4665992D81A4}"/>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1" name="TextBox 90">
          <a:extLst>
            <a:ext uri="{FF2B5EF4-FFF2-40B4-BE49-F238E27FC236}">
              <a16:creationId xmlns:a16="http://schemas.microsoft.com/office/drawing/2014/main" id="{294138B8-3294-4D40-9DE6-5564C54F1DBC}"/>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2" name="TextBox 91">
          <a:extLst>
            <a:ext uri="{FF2B5EF4-FFF2-40B4-BE49-F238E27FC236}">
              <a16:creationId xmlns:a16="http://schemas.microsoft.com/office/drawing/2014/main" id="{5E0A5A01-887D-4C04-A8C3-88FB5BC72F1B}"/>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3" name="TextBox 92">
          <a:extLst>
            <a:ext uri="{FF2B5EF4-FFF2-40B4-BE49-F238E27FC236}">
              <a16:creationId xmlns:a16="http://schemas.microsoft.com/office/drawing/2014/main" id="{2275DF71-6004-4E2C-AF31-07DD49852D87}"/>
            </a:ext>
          </a:extLst>
        </xdr:cNvPr>
        <xdr:cNvSpPr txBox="1"/>
      </xdr:nvSpPr>
      <xdr:spPr>
        <a:xfrm>
          <a:off x="15240000" y="916781"/>
          <a:ext cx="1464469"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4" name="TextBox 93">
          <a:extLst>
            <a:ext uri="{FF2B5EF4-FFF2-40B4-BE49-F238E27FC236}">
              <a16:creationId xmlns:a16="http://schemas.microsoft.com/office/drawing/2014/main" id="{7B58C102-C2CB-413A-924A-E2672E2B5C30}"/>
            </a:ext>
          </a:extLst>
        </xdr:cNvPr>
        <xdr:cNvSpPr txBox="1"/>
      </xdr:nvSpPr>
      <xdr:spPr>
        <a:xfrm>
          <a:off x="15308036" y="916781"/>
          <a:ext cx="1463108"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5" name="TextBox 94">
          <a:extLst>
            <a:ext uri="{FF2B5EF4-FFF2-40B4-BE49-F238E27FC236}">
              <a16:creationId xmlns:a16="http://schemas.microsoft.com/office/drawing/2014/main" id="{357B3DBE-6FF1-46AA-A058-EC1741713CD1}"/>
            </a:ext>
          </a:extLst>
        </xdr:cNvPr>
        <xdr:cNvSpPr txBox="1"/>
      </xdr:nvSpPr>
      <xdr:spPr>
        <a:xfrm>
          <a:off x="15308036" y="916781"/>
          <a:ext cx="1463108"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r>
            <a:rPr lang="en-IN" sz="2000" b="1">
              <a:solidFill>
                <a:schemeClr val="dk1">
                  <a:lumMod val="100000"/>
                </a:schemeClr>
              </a:solidFill>
              <a:latin typeface="Times New Roman" panose="02020603050405020304" pitchFamily="18" charset="0"/>
              <a:ea typeface="+mn-ea"/>
              <a:cs typeface="Times New Roman" panose="02020603050405020304" pitchFamily="18" charset="0"/>
            </a:rPr>
            <a:t>Refresh</a:t>
          </a:r>
        </a:p>
      </xdr:txBody>
    </xdr:sp>
    <xdr:clientData/>
  </xdr:twoCellAnchor>
  <xdr:twoCellAnchor>
    <xdr:from>
      <xdr:col>25</xdr:col>
      <xdr:colOff>0</xdr:colOff>
      <xdr:row>4</xdr:row>
      <xdr:rowOff>154781</xdr:rowOff>
    </xdr:from>
    <xdr:to>
      <xdr:col>27</xdr:col>
      <xdr:colOff>102394</xdr:colOff>
      <xdr:row>7</xdr:row>
      <xdr:rowOff>119062</xdr:rowOff>
    </xdr:to>
    <xdr:sp macro="" textlink="">
      <xdr:nvSpPr>
        <xdr:cNvPr id="96" name="TextBox 95">
          <a:extLst>
            <a:ext uri="{FF2B5EF4-FFF2-40B4-BE49-F238E27FC236}">
              <a16:creationId xmlns:a16="http://schemas.microsoft.com/office/drawing/2014/main" id="{7ECA5B50-BEC7-4B5F-A6A1-18CA1C136BBE}"/>
            </a:ext>
          </a:extLst>
        </xdr:cNvPr>
        <xdr:cNvSpPr txBox="1"/>
      </xdr:nvSpPr>
      <xdr:spPr>
        <a:xfrm>
          <a:off x="15308036" y="916781"/>
          <a:ext cx="1463108" cy="535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indent="0" algn="ctr"/>
          <a:endParaRPr lang="en-IN" sz="2000" b="1">
            <a:solidFill>
              <a:schemeClr val="dk1">
                <a:lumMod val="100000"/>
              </a:schemeClr>
            </a:solidFill>
            <a:latin typeface="Times New Roman" panose="02020603050405020304" pitchFamily="18" charset="0"/>
            <a:ea typeface="+mn-ea"/>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jit Bhattacharjee" refreshedDate="45908.379641898151" createdVersion="7" refreshedVersion="7" minRefreshableVersion="3" recordCount="1000" xr:uid="{0DB284E1-79D4-4427-A1AB-5BD3FDCE0D27}">
  <cacheSource type="worksheet">
    <worksheetSource name="Table1"/>
  </cacheSource>
  <cacheFields count="13">
    <cacheField name="Order_ID" numFmtId="0">
      <sharedItems/>
    </cacheField>
    <cacheField name="Date" numFmtId="16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base="1">
        <rangePr groupBy="months" startDate="2023-01-01T00:00:00" endDate="2024-01-02T00:00:00"/>
        <groupItems count="14">
          <s v="&lt;01-01-2023"/>
          <s v="Jan"/>
          <s v="Feb"/>
          <s v="Mar"/>
          <s v="Apr"/>
          <s v="May"/>
          <s v="Jun"/>
          <s v="Jul"/>
          <s v="Aug"/>
          <s v="Sep"/>
          <s v="Oct"/>
          <s v="Nov"/>
          <s v="Dec"/>
          <s v="&gt;02-01-2024"/>
        </groupItems>
      </fieldGroup>
    </cacheField>
    <cacheField name="Region" numFmtId="0">
      <sharedItems count="4">
        <s v="West"/>
        <s v="North"/>
        <s v="South"/>
        <s v="East"/>
      </sharedItems>
    </cacheField>
    <cacheField name="Salesperson" numFmtId="0">
      <sharedItems count="8">
        <s v="Amit"/>
        <s v="Rahul"/>
        <s v="Neha"/>
        <s v="Anita"/>
        <s v="Ravi"/>
        <s v="Karan"/>
        <s v="Priya"/>
        <s v="Sneha"/>
      </sharedItems>
    </cacheField>
    <cacheField name="Product" numFmtId="0">
      <sharedItems count="10">
        <s v="Monitor"/>
        <s v="Mouse"/>
        <s v="Printer"/>
        <s v="Keyboard"/>
        <s v="Smartphone"/>
        <s v="Smartwatch"/>
        <s v="Camera"/>
        <s v="Laptop"/>
        <s v="Headphones"/>
        <s v="Tablet"/>
      </sharedItems>
    </cacheField>
    <cacheField name="Category" numFmtId="0">
      <sharedItems count="3">
        <s v="Electronics"/>
        <s v="Accessories"/>
        <s v="Office Supplie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012" maxValue="49899"/>
    </cacheField>
    <cacheField name="Discount(%)" numFmtId="0">
      <sharedItems containsSemiMixedTypes="0" containsString="0" containsNumber="1" containsInteger="1" minValue="0" maxValue="20"/>
    </cacheField>
    <cacheField name="Payment_Method" numFmtId="0">
      <sharedItems count="5">
        <s v="UPI"/>
        <s v="Credit Card"/>
        <s v="Debit Card"/>
        <s v="Net Banking"/>
        <s v="Cash"/>
      </sharedItems>
    </cacheField>
    <cacheField name="Total_Sales" numFmtId="0">
      <sharedItems containsSemiMixedTypes="0" containsString="0" containsNumber="1" minValue="1094.4000000000001" maxValue="488230"/>
    </cacheField>
    <cacheField name="Quarters" numFmtId="0" databaseField="0">
      <fieldGroup base="1">
        <rangePr groupBy="quarters" startDate="2023-01-01T00:00:00" endDate="2024-01-02T00:00:00"/>
        <groupItems count="6">
          <s v="&lt;01-01-2023"/>
          <s v="Qtr1"/>
          <s v="Qtr2"/>
          <s v="Qtr3"/>
          <s v="Qtr4"/>
          <s v="&gt;02-01-2024"/>
        </groupItems>
      </fieldGroup>
    </cacheField>
    <cacheField name="Years"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928568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
    <x v="0"/>
    <x v="0"/>
    <x v="0"/>
    <x v="0"/>
    <x v="0"/>
    <n v="5"/>
    <n v="24605"/>
    <n v="20"/>
    <x v="0"/>
    <n v="98420"/>
  </r>
  <r>
    <s v="ORD1001"/>
    <x v="1"/>
    <x v="1"/>
    <x v="1"/>
    <x v="1"/>
    <x v="1"/>
    <n v="8"/>
    <n v="3348"/>
    <n v="10"/>
    <x v="0"/>
    <n v="24105.599999999999"/>
  </r>
  <r>
    <s v="ORD1002"/>
    <x v="2"/>
    <x v="2"/>
    <x v="2"/>
    <x v="0"/>
    <x v="1"/>
    <n v="3"/>
    <n v="7103"/>
    <n v="20"/>
    <x v="1"/>
    <n v="17047.2"/>
  </r>
  <r>
    <s v="ORD1003"/>
    <x v="3"/>
    <x v="2"/>
    <x v="3"/>
    <x v="2"/>
    <x v="2"/>
    <n v="9"/>
    <n v="20614"/>
    <n v="20"/>
    <x v="2"/>
    <n v="148420.79999999999"/>
  </r>
  <r>
    <s v="ORD1004"/>
    <x v="4"/>
    <x v="3"/>
    <x v="3"/>
    <x v="1"/>
    <x v="2"/>
    <n v="5"/>
    <n v="22156"/>
    <n v="5"/>
    <x v="0"/>
    <n v="105241"/>
  </r>
  <r>
    <s v="ORD1005"/>
    <x v="5"/>
    <x v="2"/>
    <x v="1"/>
    <x v="3"/>
    <x v="2"/>
    <n v="7"/>
    <n v="25154"/>
    <n v="15"/>
    <x v="2"/>
    <n v="149666.29999999999"/>
  </r>
  <r>
    <s v="ORD1006"/>
    <x v="6"/>
    <x v="1"/>
    <x v="1"/>
    <x v="4"/>
    <x v="1"/>
    <n v="4"/>
    <n v="25834"/>
    <n v="5"/>
    <x v="2"/>
    <n v="98169.2"/>
  </r>
  <r>
    <s v="ORD1007"/>
    <x v="7"/>
    <x v="1"/>
    <x v="2"/>
    <x v="5"/>
    <x v="2"/>
    <n v="10"/>
    <n v="5434"/>
    <n v="10"/>
    <x v="3"/>
    <n v="48906"/>
  </r>
  <r>
    <s v="ORD1008"/>
    <x v="8"/>
    <x v="2"/>
    <x v="2"/>
    <x v="1"/>
    <x v="2"/>
    <n v="3"/>
    <n v="29005"/>
    <n v="0"/>
    <x v="0"/>
    <n v="87015"/>
  </r>
  <r>
    <s v="ORD1009"/>
    <x v="9"/>
    <x v="3"/>
    <x v="1"/>
    <x v="4"/>
    <x v="1"/>
    <n v="1"/>
    <n v="37075"/>
    <n v="5"/>
    <x v="3"/>
    <n v="35221.25"/>
  </r>
  <r>
    <s v="ORD1010"/>
    <x v="10"/>
    <x v="3"/>
    <x v="4"/>
    <x v="6"/>
    <x v="2"/>
    <n v="9"/>
    <n v="5254"/>
    <n v="0"/>
    <x v="1"/>
    <n v="47286"/>
  </r>
  <r>
    <s v="ORD1011"/>
    <x v="11"/>
    <x v="0"/>
    <x v="5"/>
    <x v="7"/>
    <x v="1"/>
    <n v="7"/>
    <n v="20191"/>
    <n v="5"/>
    <x v="0"/>
    <n v="134270.15"/>
  </r>
  <r>
    <s v="ORD1012"/>
    <x v="12"/>
    <x v="1"/>
    <x v="2"/>
    <x v="8"/>
    <x v="0"/>
    <n v="8"/>
    <n v="31855"/>
    <n v="15"/>
    <x v="1"/>
    <n v="216614"/>
  </r>
  <r>
    <s v="ORD1013"/>
    <x v="13"/>
    <x v="0"/>
    <x v="3"/>
    <x v="0"/>
    <x v="0"/>
    <n v="9"/>
    <n v="9817"/>
    <n v="15"/>
    <x v="3"/>
    <n v="75100.05"/>
  </r>
  <r>
    <s v="ORD1014"/>
    <x v="14"/>
    <x v="3"/>
    <x v="5"/>
    <x v="6"/>
    <x v="2"/>
    <n v="1"/>
    <n v="8996"/>
    <n v="5"/>
    <x v="3"/>
    <n v="8546.1999999999989"/>
  </r>
  <r>
    <s v="ORD1015"/>
    <x v="15"/>
    <x v="0"/>
    <x v="3"/>
    <x v="7"/>
    <x v="0"/>
    <n v="9"/>
    <n v="46522"/>
    <n v="5"/>
    <x v="3"/>
    <n v="397763.1"/>
  </r>
  <r>
    <s v="ORD1016"/>
    <x v="16"/>
    <x v="3"/>
    <x v="0"/>
    <x v="2"/>
    <x v="0"/>
    <n v="6"/>
    <n v="18984"/>
    <n v="0"/>
    <x v="0"/>
    <n v="113904"/>
  </r>
  <r>
    <s v="ORD1017"/>
    <x v="17"/>
    <x v="0"/>
    <x v="2"/>
    <x v="4"/>
    <x v="1"/>
    <n v="7"/>
    <n v="22575"/>
    <n v="0"/>
    <x v="3"/>
    <n v="158025"/>
  </r>
  <r>
    <s v="ORD1018"/>
    <x v="18"/>
    <x v="0"/>
    <x v="2"/>
    <x v="9"/>
    <x v="1"/>
    <n v="3"/>
    <n v="35540"/>
    <n v="10"/>
    <x v="1"/>
    <n v="95958"/>
  </r>
  <r>
    <s v="ORD1019"/>
    <x v="19"/>
    <x v="1"/>
    <x v="6"/>
    <x v="3"/>
    <x v="2"/>
    <n v="8"/>
    <n v="28116"/>
    <n v="10"/>
    <x v="2"/>
    <n v="202435.20000000001"/>
  </r>
  <r>
    <s v="ORD1020"/>
    <x v="20"/>
    <x v="1"/>
    <x v="4"/>
    <x v="3"/>
    <x v="1"/>
    <n v="2"/>
    <n v="35383"/>
    <n v="5"/>
    <x v="0"/>
    <n v="67227.7"/>
  </r>
  <r>
    <s v="ORD1021"/>
    <x v="21"/>
    <x v="0"/>
    <x v="5"/>
    <x v="1"/>
    <x v="2"/>
    <n v="9"/>
    <n v="14752"/>
    <n v="15"/>
    <x v="4"/>
    <n v="112852.8"/>
  </r>
  <r>
    <s v="ORD1022"/>
    <x v="22"/>
    <x v="3"/>
    <x v="0"/>
    <x v="4"/>
    <x v="2"/>
    <n v="8"/>
    <n v="46601"/>
    <n v="10"/>
    <x v="1"/>
    <n v="335527.2"/>
  </r>
  <r>
    <s v="ORD1023"/>
    <x v="23"/>
    <x v="3"/>
    <x v="3"/>
    <x v="6"/>
    <x v="1"/>
    <n v="6"/>
    <n v="14700"/>
    <n v="10"/>
    <x v="0"/>
    <n v="79380"/>
  </r>
  <r>
    <s v="ORD1024"/>
    <x v="24"/>
    <x v="1"/>
    <x v="5"/>
    <x v="9"/>
    <x v="2"/>
    <n v="1"/>
    <n v="41111"/>
    <n v="20"/>
    <x v="3"/>
    <n v="32888.800000000003"/>
  </r>
  <r>
    <s v="ORD1025"/>
    <x v="9"/>
    <x v="1"/>
    <x v="7"/>
    <x v="7"/>
    <x v="0"/>
    <n v="1"/>
    <n v="4813"/>
    <n v="15"/>
    <x v="4"/>
    <n v="4091.05"/>
  </r>
  <r>
    <s v="ORD1026"/>
    <x v="25"/>
    <x v="2"/>
    <x v="0"/>
    <x v="1"/>
    <x v="0"/>
    <n v="4"/>
    <n v="8163"/>
    <n v="0"/>
    <x v="4"/>
    <n v="32652"/>
  </r>
  <r>
    <s v="ORD1027"/>
    <x v="26"/>
    <x v="1"/>
    <x v="3"/>
    <x v="0"/>
    <x v="0"/>
    <n v="7"/>
    <n v="38445"/>
    <n v="0"/>
    <x v="0"/>
    <n v="269115"/>
  </r>
  <r>
    <s v="ORD1028"/>
    <x v="27"/>
    <x v="3"/>
    <x v="1"/>
    <x v="3"/>
    <x v="1"/>
    <n v="10"/>
    <n v="48823"/>
    <n v="0"/>
    <x v="3"/>
    <n v="488230"/>
  </r>
  <r>
    <s v="ORD1029"/>
    <x v="28"/>
    <x v="1"/>
    <x v="4"/>
    <x v="5"/>
    <x v="0"/>
    <n v="2"/>
    <n v="42220"/>
    <n v="20"/>
    <x v="1"/>
    <n v="67552"/>
  </r>
  <r>
    <s v="ORD1030"/>
    <x v="29"/>
    <x v="2"/>
    <x v="1"/>
    <x v="3"/>
    <x v="2"/>
    <n v="6"/>
    <n v="35665"/>
    <n v="5"/>
    <x v="1"/>
    <n v="203290.5"/>
  </r>
  <r>
    <s v="ORD1031"/>
    <x v="30"/>
    <x v="0"/>
    <x v="7"/>
    <x v="5"/>
    <x v="2"/>
    <n v="6"/>
    <n v="6745"/>
    <n v="5"/>
    <x v="2"/>
    <n v="38446.5"/>
  </r>
  <r>
    <s v="ORD1032"/>
    <x v="31"/>
    <x v="0"/>
    <x v="0"/>
    <x v="0"/>
    <x v="2"/>
    <n v="10"/>
    <n v="32697"/>
    <n v="0"/>
    <x v="3"/>
    <n v="326970"/>
  </r>
  <r>
    <s v="ORD1033"/>
    <x v="32"/>
    <x v="3"/>
    <x v="6"/>
    <x v="9"/>
    <x v="1"/>
    <n v="5"/>
    <n v="48452"/>
    <n v="15"/>
    <x v="2"/>
    <n v="205921"/>
  </r>
  <r>
    <s v="ORD1034"/>
    <x v="12"/>
    <x v="2"/>
    <x v="7"/>
    <x v="1"/>
    <x v="0"/>
    <n v="3"/>
    <n v="46131"/>
    <n v="20"/>
    <x v="1"/>
    <n v="110714.4"/>
  </r>
  <r>
    <s v="ORD1035"/>
    <x v="33"/>
    <x v="0"/>
    <x v="0"/>
    <x v="5"/>
    <x v="1"/>
    <n v="9"/>
    <n v="40634"/>
    <n v="0"/>
    <x v="3"/>
    <n v="365706"/>
  </r>
  <r>
    <s v="ORD1036"/>
    <x v="29"/>
    <x v="0"/>
    <x v="3"/>
    <x v="9"/>
    <x v="2"/>
    <n v="5"/>
    <n v="47321"/>
    <n v="0"/>
    <x v="2"/>
    <n v="236605"/>
  </r>
  <r>
    <s v="ORD1037"/>
    <x v="34"/>
    <x v="1"/>
    <x v="2"/>
    <x v="0"/>
    <x v="0"/>
    <n v="4"/>
    <n v="19821"/>
    <n v="5"/>
    <x v="0"/>
    <n v="75319.8"/>
  </r>
  <r>
    <s v="ORD1038"/>
    <x v="35"/>
    <x v="0"/>
    <x v="4"/>
    <x v="6"/>
    <x v="0"/>
    <n v="5"/>
    <n v="28987"/>
    <n v="15"/>
    <x v="0"/>
    <n v="123194.75"/>
  </r>
  <r>
    <s v="ORD1039"/>
    <x v="36"/>
    <x v="3"/>
    <x v="1"/>
    <x v="0"/>
    <x v="0"/>
    <n v="8"/>
    <n v="40901"/>
    <n v="20"/>
    <x v="4"/>
    <n v="261766.39999999999"/>
  </r>
  <r>
    <s v="ORD1040"/>
    <x v="7"/>
    <x v="0"/>
    <x v="4"/>
    <x v="8"/>
    <x v="1"/>
    <n v="10"/>
    <n v="21741"/>
    <n v="20"/>
    <x v="1"/>
    <n v="173928"/>
  </r>
  <r>
    <s v="ORD1041"/>
    <x v="15"/>
    <x v="3"/>
    <x v="7"/>
    <x v="7"/>
    <x v="0"/>
    <n v="6"/>
    <n v="18017"/>
    <n v="10"/>
    <x v="1"/>
    <n v="97291.8"/>
  </r>
  <r>
    <s v="ORD1042"/>
    <x v="37"/>
    <x v="3"/>
    <x v="4"/>
    <x v="2"/>
    <x v="1"/>
    <n v="6"/>
    <n v="35432"/>
    <n v="15"/>
    <x v="2"/>
    <n v="180703.2"/>
  </r>
  <r>
    <s v="ORD1043"/>
    <x v="38"/>
    <x v="1"/>
    <x v="3"/>
    <x v="7"/>
    <x v="0"/>
    <n v="3"/>
    <n v="38692"/>
    <n v="5"/>
    <x v="2"/>
    <n v="110272.2"/>
  </r>
  <r>
    <s v="ORD1044"/>
    <x v="39"/>
    <x v="2"/>
    <x v="0"/>
    <x v="0"/>
    <x v="2"/>
    <n v="8"/>
    <n v="41844"/>
    <n v="10"/>
    <x v="4"/>
    <n v="301276.79999999999"/>
  </r>
  <r>
    <s v="ORD1045"/>
    <x v="40"/>
    <x v="3"/>
    <x v="1"/>
    <x v="6"/>
    <x v="1"/>
    <n v="7"/>
    <n v="24190"/>
    <n v="5"/>
    <x v="2"/>
    <n v="160863.5"/>
  </r>
  <r>
    <s v="ORD1046"/>
    <x v="41"/>
    <x v="0"/>
    <x v="7"/>
    <x v="1"/>
    <x v="0"/>
    <n v="4"/>
    <n v="9500"/>
    <n v="0"/>
    <x v="4"/>
    <n v="38000"/>
  </r>
  <r>
    <s v="ORD1047"/>
    <x v="42"/>
    <x v="0"/>
    <x v="2"/>
    <x v="7"/>
    <x v="1"/>
    <n v="7"/>
    <n v="41258"/>
    <n v="10"/>
    <x v="3"/>
    <n v="259925.4"/>
  </r>
  <r>
    <s v="ORD1048"/>
    <x v="43"/>
    <x v="3"/>
    <x v="3"/>
    <x v="1"/>
    <x v="0"/>
    <n v="6"/>
    <n v="37872"/>
    <n v="5"/>
    <x v="0"/>
    <n v="215870.4"/>
  </r>
  <r>
    <s v="ORD1049"/>
    <x v="44"/>
    <x v="0"/>
    <x v="4"/>
    <x v="7"/>
    <x v="2"/>
    <n v="6"/>
    <n v="33531"/>
    <n v="0"/>
    <x v="3"/>
    <n v="201186"/>
  </r>
  <r>
    <s v="ORD1050"/>
    <x v="45"/>
    <x v="1"/>
    <x v="2"/>
    <x v="2"/>
    <x v="2"/>
    <n v="7"/>
    <n v="35059"/>
    <n v="5"/>
    <x v="3"/>
    <n v="233142.35"/>
  </r>
  <r>
    <s v="ORD1051"/>
    <x v="46"/>
    <x v="0"/>
    <x v="1"/>
    <x v="3"/>
    <x v="2"/>
    <n v="5"/>
    <n v="48787"/>
    <n v="15"/>
    <x v="2"/>
    <n v="207344.75"/>
  </r>
  <r>
    <s v="ORD1052"/>
    <x v="47"/>
    <x v="1"/>
    <x v="3"/>
    <x v="4"/>
    <x v="0"/>
    <n v="8"/>
    <n v="42409"/>
    <n v="5"/>
    <x v="0"/>
    <n v="322308.40000000002"/>
  </r>
  <r>
    <s v="ORD1053"/>
    <x v="48"/>
    <x v="3"/>
    <x v="2"/>
    <x v="0"/>
    <x v="1"/>
    <n v="3"/>
    <n v="33619"/>
    <n v="15"/>
    <x v="2"/>
    <n v="85728.45"/>
  </r>
  <r>
    <s v="ORD1054"/>
    <x v="49"/>
    <x v="3"/>
    <x v="2"/>
    <x v="6"/>
    <x v="1"/>
    <n v="10"/>
    <n v="33276"/>
    <n v="5"/>
    <x v="4"/>
    <n v="316122"/>
  </r>
  <r>
    <s v="ORD1055"/>
    <x v="50"/>
    <x v="3"/>
    <x v="5"/>
    <x v="0"/>
    <x v="2"/>
    <n v="3"/>
    <n v="12790"/>
    <n v="0"/>
    <x v="0"/>
    <n v="38370"/>
  </r>
  <r>
    <s v="ORD1056"/>
    <x v="51"/>
    <x v="1"/>
    <x v="3"/>
    <x v="2"/>
    <x v="2"/>
    <n v="10"/>
    <n v="40938"/>
    <n v="15"/>
    <x v="0"/>
    <n v="347973"/>
  </r>
  <r>
    <s v="ORD1057"/>
    <x v="52"/>
    <x v="0"/>
    <x v="7"/>
    <x v="9"/>
    <x v="2"/>
    <n v="4"/>
    <n v="16251"/>
    <n v="20"/>
    <x v="2"/>
    <n v="52003.199999999997"/>
  </r>
  <r>
    <s v="ORD1058"/>
    <x v="53"/>
    <x v="1"/>
    <x v="7"/>
    <x v="7"/>
    <x v="0"/>
    <n v="2"/>
    <n v="47437"/>
    <n v="15"/>
    <x v="1"/>
    <n v="80642.899999999994"/>
  </r>
  <r>
    <s v="ORD1059"/>
    <x v="54"/>
    <x v="0"/>
    <x v="5"/>
    <x v="8"/>
    <x v="1"/>
    <n v="5"/>
    <n v="20037"/>
    <n v="0"/>
    <x v="3"/>
    <n v="100185"/>
  </r>
  <r>
    <s v="ORD1060"/>
    <x v="55"/>
    <x v="0"/>
    <x v="5"/>
    <x v="3"/>
    <x v="0"/>
    <n v="4"/>
    <n v="13684"/>
    <n v="15"/>
    <x v="0"/>
    <n v="46525.599999999999"/>
  </r>
  <r>
    <s v="ORD1061"/>
    <x v="56"/>
    <x v="1"/>
    <x v="7"/>
    <x v="4"/>
    <x v="2"/>
    <n v="9"/>
    <n v="1103"/>
    <n v="5"/>
    <x v="2"/>
    <n v="9430.65"/>
  </r>
  <r>
    <s v="ORD1062"/>
    <x v="57"/>
    <x v="2"/>
    <x v="5"/>
    <x v="7"/>
    <x v="2"/>
    <n v="7"/>
    <n v="8746"/>
    <n v="5"/>
    <x v="3"/>
    <n v="58160.899999999987"/>
  </r>
  <r>
    <s v="ORD1063"/>
    <x v="58"/>
    <x v="3"/>
    <x v="5"/>
    <x v="0"/>
    <x v="0"/>
    <n v="7"/>
    <n v="2571"/>
    <n v="20"/>
    <x v="3"/>
    <n v="14397.6"/>
  </r>
  <r>
    <s v="ORD1064"/>
    <x v="59"/>
    <x v="0"/>
    <x v="7"/>
    <x v="6"/>
    <x v="2"/>
    <n v="4"/>
    <n v="31466"/>
    <n v="15"/>
    <x v="4"/>
    <n v="106984.4"/>
  </r>
  <r>
    <s v="ORD1065"/>
    <x v="60"/>
    <x v="0"/>
    <x v="3"/>
    <x v="2"/>
    <x v="1"/>
    <n v="3"/>
    <n v="41990"/>
    <n v="5"/>
    <x v="2"/>
    <n v="119671.5"/>
  </r>
  <r>
    <s v="ORD1066"/>
    <x v="61"/>
    <x v="1"/>
    <x v="2"/>
    <x v="1"/>
    <x v="2"/>
    <n v="3"/>
    <n v="8728"/>
    <n v="15"/>
    <x v="1"/>
    <n v="22256.400000000001"/>
  </r>
  <r>
    <s v="ORD1067"/>
    <x v="48"/>
    <x v="2"/>
    <x v="3"/>
    <x v="9"/>
    <x v="1"/>
    <n v="8"/>
    <n v="49330"/>
    <n v="10"/>
    <x v="1"/>
    <n v="355176"/>
  </r>
  <r>
    <s v="ORD1068"/>
    <x v="17"/>
    <x v="3"/>
    <x v="2"/>
    <x v="4"/>
    <x v="2"/>
    <n v="1"/>
    <n v="14587"/>
    <n v="5"/>
    <x v="4"/>
    <n v="13857.65"/>
  </r>
  <r>
    <s v="ORD1069"/>
    <x v="62"/>
    <x v="2"/>
    <x v="5"/>
    <x v="5"/>
    <x v="0"/>
    <n v="3"/>
    <n v="41324"/>
    <n v="15"/>
    <x v="4"/>
    <n v="105376.2"/>
  </r>
  <r>
    <s v="ORD1070"/>
    <x v="37"/>
    <x v="3"/>
    <x v="5"/>
    <x v="4"/>
    <x v="2"/>
    <n v="7"/>
    <n v="28173"/>
    <n v="5"/>
    <x v="2"/>
    <n v="187350.45"/>
  </r>
  <r>
    <s v="ORD1071"/>
    <x v="29"/>
    <x v="0"/>
    <x v="6"/>
    <x v="6"/>
    <x v="2"/>
    <n v="8"/>
    <n v="28134"/>
    <n v="10"/>
    <x v="1"/>
    <n v="202564.8"/>
  </r>
  <r>
    <s v="ORD1072"/>
    <x v="63"/>
    <x v="0"/>
    <x v="4"/>
    <x v="8"/>
    <x v="0"/>
    <n v="3"/>
    <n v="3981"/>
    <n v="10"/>
    <x v="3"/>
    <n v="10748.7"/>
  </r>
  <r>
    <s v="ORD1073"/>
    <x v="64"/>
    <x v="1"/>
    <x v="4"/>
    <x v="2"/>
    <x v="2"/>
    <n v="9"/>
    <n v="22875"/>
    <n v="5"/>
    <x v="2"/>
    <n v="195581.25"/>
  </r>
  <r>
    <s v="ORD1074"/>
    <x v="65"/>
    <x v="1"/>
    <x v="2"/>
    <x v="4"/>
    <x v="0"/>
    <n v="9"/>
    <n v="23914"/>
    <n v="10"/>
    <x v="0"/>
    <n v="193703.4"/>
  </r>
  <r>
    <s v="ORD1075"/>
    <x v="66"/>
    <x v="2"/>
    <x v="1"/>
    <x v="5"/>
    <x v="0"/>
    <n v="6"/>
    <n v="37727"/>
    <n v="5"/>
    <x v="2"/>
    <n v="215043.9"/>
  </r>
  <r>
    <s v="ORD1076"/>
    <x v="67"/>
    <x v="2"/>
    <x v="5"/>
    <x v="5"/>
    <x v="1"/>
    <n v="8"/>
    <n v="42779"/>
    <n v="0"/>
    <x v="1"/>
    <n v="342232"/>
  </r>
  <r>
    <s v="ORD1077"/>
    <x v="68"/>
    <x v="3"/>
    <x v="0"/>
    <x v="7"/>
    <x v="2"/>
    <n v="5"/>
    <n v="14915"/>
    <n v="20"/>
    <x v="3"/>
    <n v="59660"/>
  </r>
  <r>
    <s v="ORD1078"/>
    <x v="69"/>
    <x v="1"/>
    <x v="5"/>
    <x v="2"/>
    <x v="2"/>
    <n v="5"/>
    <n v="1740"/>
    <n v="0"/>
    <x v="4"/>
    <n v="8700"/>
  </r>
  <r>
    <s v="ORD1079"/>
    <x v="70"/>
    <x v="0"/>
    <x v="6"/>
    <x v="8"/>
    <x v="2"/>
    <n v="9"/>
    <n v="42983"/>
    <n v="10"/>
    <x v="3"/>
    <n v="348162.3"/>
  </r>
  <r>
    <s v="ORD1080"/>
    <x v="71"/>
    <x v="1"/>
    <x v="2"/>
    <x v="0"/>
    <x v="1"/>
    <n v="10"/>
    <n v="14185"/>
    <n v="5"/>
    <x v="4"/>
    <n v="134757.5"/>
  </r>
  <r>
    <s v="ORD1081"/>
    <x v="24"/>
    <x v="2"/>
    <x v="3"/>
    <x v="3"/>
    <x v="2"/>
    <n v="1"/>
    <n v="46220"/>
    <n v="0"/>
    <x v="0"/>
    <n v="46220"/>
  </r>
  <r>
    <s v="ORD1082"/>
    <x v="72"/>
    <x v="1"/>
    <x v="5"/>
    <x v="3"/>
    <x v="1"/>
    <n v="7"/>
    <n v="19456"/>
    <n v="15"/>
    <x v="2"/>
    <n v="115763.2"/>
  </r>
  <r>
    <s v="ORD1083"/>
    <x v="73"/>
    <x v="0"/>
    <x v="3"/>
    <x v="1"/>
    <x v="1"/>
    <n v="2"/>
    <n v="17673"/>
    <n v="15"/>
    <x v="1"/>
    <n v="30044.1"/>
  </r>
  <r>
    <s v="ORD1084"/>
    <x v="74"/>
    <x v="1"/>
    <x v="7"/>
    <x v="2"/>
    <x v="2"/>
    <n v="3"/>
    <n v="5445"/>
    <n v="15"/>
    <x v="0"/>
    <n v="13884.75"/>
  </r>
  <r>
    <s v="ORD1085"/>
    <x v="75"/>
    <x v="2"/>
    <x v="7"/>
    <x v="1"/>
    <x v="2"/>
    <n v="1"/>
    <n v="21170"/>
    <n v="5"/>
    <x v="2"/>
    <n v="20111.5"/>
  </r>
  <r>
    <s v="ORD1086"/>
    <x v="64"/>
    <x v="0"/>
    <x v="5"/>
    <x v="1"/>
    <x v="0"/>
    <n v="4"/>
    <n v="20679"/>
    <n v="10"/>
    <x v="4"/>
    <n v="74444.400000000009"/>
  </r>
  <r>
    <s v="ORD1087"/>
    <x v="76"/>
    <x v="3"/>
    <x v="5"/>
    <x v="9"/>
    <x v="1"/>
    <n v="5"/>
    <n v="34206"/>
    <n v="5"/>
    <x v="1"/>
    <n v="162478.5"/>
  </r>
  <r>
    <s v="ORD1088"/>
    <x v="77"/>
    <x v="3"/>
    <x v="1"/>
    <x v="3"/>
    <x v="1"/>
    <n v="8"/>
    <n v="37044"/>
    <n v="10"/>
    <x v="1"/>
    <n v="266716.79999999999"/>
  </r>
  <r>
    <s v="ORD1089"/>
    <x v="4"/>
    <x v="0"/>
    <x v="6"/>
    <x v="0"/>
    <x v="1"/>
    <n v="2"/>
    <n v="22228"/>
    <n v="20"/>
    <x v="4"/>
    <n v="35564.800000000003"/>
  </r>
  <r>
    <s v="ORD1090"/>
    <x v="66"/>
    <x v="0"/>
    <x v="7"/>
    <x v="4"/>
    <x v="1"/>
    <n v="8"/>
    <n v="1401"/>
    <n v="5"/>
    <x v="3"/>
    <n v="10647.6"/>
  </r>
  <r>
    <s v="ORD1091"/>
    <x v="78"/>
    <x v="0"/>
    <x v="7"/>
    <x v="0"/>
    <x v="1"/>
    <n v="6"/>
    <n v="8460"/>
    <n v="20"/>
    <x v="3"/>
    <n v="40608"/>
  </r>
  <r>
    <s v="ORD1092"/>
    <x v="37"/>
    <x v="2"/>
    <x v="0"/>
    <x v="8"/>
    <x v="0"/>
    <n v="5"/>
    <n v="45946"/>
    <n v="5"/>
    <x v="3"/>
    <n v="218243.5"/>
  </r>
  <r>
    <s v="ORD1093"/>
    <x v="79"/>
    <x v="0"/>
    <x v="7"/>
    <x v="5"/>
    <x v="0"/>
    <n v="6"/>
    <n v="22842"/>
    <n v="20"/>
    <x v="1"/>
    <n v="109641.60000000001"/>
  </r>
  <r>
    <s v="ORD1094"/>
    <x v="0"/>
    <x v="2"/>
    <x v="7"/>
    <x v="4"/>
    <x v="1"/>
    <n v="6"/>
    <n v="23371"/>
    <n v="20"/>
    <x v="2"/>
    <n v="112180.8"/>
  </r>
  <r>
    <s v="ORD1095"/>
    <x v="80"/>
    <x v="0"/>
    <x v="0"/>
    <x v="8"/>
    <x v="2"/>
    <n v="9"/>
    <n v="26955"/>
    <n v="5"/>
    <x v="2"/>
    <n v="230465.25"/>
  </r>
  <r>
    <s v="ORD1096"/>
    <x v="81"/>
    <x v="2"/>
    <x v="6"/>
    <x v="4"/>
    <x v="2"/>
    <n v="9"/>
    <n v="48474"/>
    <n v="0"/>
    <x v="2"/>
    <n v="436266"/>
  </r>
  <r>
    <s v="ORD1097"/>
    <x v="26"/>
    <x v="2"/>
    <x v="4"/>
    <x v="8"/>
    <x v="2"/>
    <n v="5"/>
    <n v="38284"/>
    <n v="15"/>
    <x v="0"/>
    <n v="162707"/>
  </r>
  <r>
    <s v="ORD1098"/>
    <x v="82"/>
    <x v="1"/>
    <x v="2"/>
    <x v="9"/>
    <x v="2"/>
    <n v="6"/>
    <n v="41369"/>
    <n v="20"/>
    <x v="0"/>
    <n v="198571.2"/>
  </r>
  <r>
    <s v="ORD1099"/>
    <x v="83"/>
    <x v="3"/>
    <x v="3"/>
    <x v="9"/>
    <x v="1"/>
    <n v="1"/>
    <n v="2908"/>
    <n v="15"/>
    <x v="3"/>
    <n v="2471.8000000000002"/>
  </r>
  <r>
    <s v="ORD1100"/>
    <x v="84"/>
    <x v="0"/>
    <x v="6"/>
    <x v="1"/>
    <x v="2"/>
    <n v="7"/>
    <n v="12510"/>
    <n v="5"/>
    <x v="3"/>
    <n v="83191.5"/>
  </r>
  <r>
    <s v="ORD1101"/>
    <x v="85"/>
    <x v="3"/>
    <x v="1"/>
    <x v="2"/>
    <x v="2"/>
    <n v="2"/>
    <n v="13715"/>
    <n v="20"/>
    <x v="2"/>
    <n v="21944"/>
  </r>
  <r>
    <s v="ORD1102"/>
    <x v="13"/>
    <x v="3"/>
    <x v="0"/>
    <x v="4"/>
    <x v="1"/>
    <n v="6"/>
    <n v="22660"/>
    <n v="15"/>
    <x v="3"/>
    <n v="115566"/>
  </r>
  <r>
    <s v="ORD1103"/>
    <x v="86"/>
    <x v="1"/>
    <x v="1"/>
    <x v="6"/>
    <x v="2"/>
    <n v="10"/>
    <n v="23147"/>
    <n v="15"/>
    <x v="2"/>
    <n v="196749.5"/>
  </r>
  <r>
    <s v="ORD1104"/>
    <x v="87"/>
    <x v="3"/>
    <x v="4"/>
    <x v="1"/>
    <x v="2"/>
    <n v="4"/>
    <n v="45071"/>
    <n v="10"/>
    <x v="4"/>
    <n v="162255.6"/>
  </r>
  <r>
    <s v="ORD1105"/>
    <x v="88"/>
    <x v="3"/>
    <x v="3"/>
    <x v="0"/>
    <x v="2"/>
    <n v="10"/>
    <n v="32398"/>
    <n v="0"/>
    <x v="2"/>
    <n v="323980"/>
  </r>
  <r>
    <s v="ORD1106"/>
    <x v="89"/>
    <x v="0"/>
    <x v="3"/>
    <x v="9"/>
    <x v="2"/>
    <n v="10"/>
    <n v="32096"/>
    <n v="15"/>
    <x v="0"/>
    <n v="272816"/>
  </r>
  <r>
    <s v="ORD1107"/>
    <x v="90"/>
    <x v="2"/>
    <x v="7"/>
    <x v="3"/>
    <x v="0"/>
    <n v="9"/>
    <n v="3330"/>
    <n v="5"/>
    <x v="2"/>
    <n v="28471.5"/>
  </r>
  <r>
    <s v="ORD1108"/>
    <x v="91"/>
    <x v="0"/>
    <x v="5"/>
    <x v="9"/>
    <x v="0"/>
    <n v="3"/>
    <n v="43313"/>
    <n v="5"/>
    <x v="3"/>
    <n v="123442.05"/>
  </r>
  <r>
    <s v="ORD1109"/>
    <x v="86"/>
    <x v="0"/>
    <x v="2"/>
    <x v="3"/>
    <x v="0"/>
    <n v="5"/>
    <n v="9896"/>
    <n v="10"/>
    <x v="2"/>
    <n v="44532"/>
  </r>
  <r>
    <s v="ORD1110"/>
    <x v="90"/>
    <x v="3"/>
    <x v="5"/>
    <x v="4"/>
    <x v="2"/>
    <n v="6"/>
    <n v="32555"/>
    <n v="15"/>
    <x v="3"/>
    <n v="166030.5"/>
  </r>
  <r>
    <s v="ORD1111"/>
    <x v="92"/>
    <x v="3"/>
    <x v="0"/>
    <x v="4"/>
    <x v="2"/>
    <n v="6"/>
    <n v="11183"/>
    <n v="20"/>
    <x v="2"/>
    <n v="53678.400000000001"/>
  </r>
  <r>
    <s v="ORD1112"/>
    <x v="93"/>
    <x v="0"/>
    <x v="6"/>
    <x v="8"/>
    <x v="1"/>
    <n v="9"/>
    <n v="42104"/>
    <n v="5"/>
    <x v="1"/>
    <n v="359989.2"/>
  </r>
  <r>
    <s v="ORD1113"/>
    <x v="94"/>
    <x v="0"/>
    <x v="7"/>
    <x v="3"/>
    <x v="2"/>
    <n v="8"/>
    <n v="31187"/>
    <n v="20"/>
    <x v="0"/>
    <n v="199596.79999999999"/>
  </r>
  <r>
    <s v="ORD1114"/>
    <x v="95"/>
    <x v="3"/>
    <x v="0"/>
    <x v="5"/>
    <x v="1"/>
    <n v="8"/>
    <n v="36190"/>
    <n v="5"/>
    <x v="0"/>
    <n v="275044"/>
  </r>
  <r>
    <s v="ORD1115"/>
    <x v="96"/>
    <x v="2"/>
    <x v="1"/>
    <x v="7"/>
    <x v="2"/>
    <n v="2"/>
    <n v="22961"/>
    <n v="20"/>
    <x v="2"/>
    <n v="36737.599999999999"/>
  </r>
  <r>
    <s v="ORD1116"/>
    <x v="97"/>
    <x v="2"/>
    <x v="4"/>
    <x v="0"/>
    <x v="0"/>
    <n v="7"/>
    <n v="31308"/>
    <n v="0"/>
    <x v="4"/>
    <n v="219156"/>
  </r>
  <r>
    <s v="ORD1117"/>
    <x v="42"/>
    <x v="0"/>
    <x v="1"/>
    <x v="1"/>
    <x v="2"/>
    <n v="10"/>
    <n v="28128"/>
    <n v="15"/>
    <x v="3"/>
    <n v="239088"/>
  </r>
  <r>
    <s v="ORD1118"/>
    <x v="6"/>
    <x v="2"/>
    <x v="0"/>
    <x v="8"/>
    <x v="2"/>
    <n v="5"/>
    <n v="49666"/>
    <n v="0"/>
    <x v="2"/>
    <n v="248330"/>
  </r>
  <r>
    <s v="ORD1119"/>
    <x v="98"/>
    <x v="0"/>
    <x v="4"/>
    <x v="4"/>
    <x v="0"/>
    <n v="8"/>
    <n v="4671"/>
    <n v="0"/>
    <x v="0"/>
    <n v="37368"/>
  </r>
  <r>
    <s v="ORD1120"/>
    <x v="21"/>
    <x v="1"/>
    <x v="3"/>
    <x v="0"/>
    <x v="2"/>
    <n v="3"/>
    <n v="35149"/>
    <n v="15"/>
    <x v="4"/>
    <n v="89629.95"/>
  </r>
  <r>
    <s v="ORD1121"/>
    <x v="99"/>
    <x v="3"/>
    <x v="1"/>
    <x v="1"/>
    <x v="2"/>
    <n v="3"/>
    <n v="20617"/>
    <n v="20"/>
    <x v="3"/>
    <n v="49480.800000000003"/>
  </r>
  <r>
    <s v="ORD1122"/>
    <x v="100"/>
    <x v="0"/>
    <x v="5"/>
    <x v="2"/>
    <x v="2"/>
    <n v="6"/>
    <n v="38024"/>
    <n v="0"/>
    <x v="1"/>
    <n v="228144"/>
  </r>
  <r>
    <s v="ORD1123"/>
    <x v="101"/>
    <x v="0"/>
    <x v="0"/>
    <x v="6"/>
    <x v="2"/>
    <n v="7"/>
    <n v="48511"/>
    <n v="15"/>
    <x v="1"/>
    <n v="288640.45"/>
  </r>
  <r>
    <s v="ORD1124"/>
    <x v="102"/>
    <x v="0"/>
    <x v="0"/>
    <x v="7"/>
    <x v="1"/>
    <n v="10"/>
    <n v="45446"/>
    <n v="20"/>
    <x v="3"/>
    <n v="363568"/>
  </r>
  <r>
    <s v="ORD1125"/>
    <x v="103"/>
    <x v="2"/>
    <x v="5"/>
    <x v="3"/>
    <x v="2"/>
    <n v="10"/>
    <n v="21676"/>
    <n v="15"/>
    <x v="2"/>
    <n v="184246"/>
  </r>
  <r>
    <s v="ORD1126"/>
    <x v="104"/>
    <x v="0"/>
    <x v="6"/>
    <x v="3"/>
    <x v="0"/>
    <n v="7"/>
    <n v="37384"/>
    <n v="15"/>
    <x v="0"/>
    <n v="222434.8"/>
  </r>
  <r>
    <s v="ORD1127"/>
    <x v="53"/>
    <x v="1"/>
    <x v="2"/>
    <x v="8"/>
    <x v="1"/>
    <n v="2"/>
    <n v="36119"/>
    <n v="0"/>
    <x v="3"/>
    <n v="72238"/>
  </r>
  <r>
    <s v="ORD1128"/>
    <x v="26"/>
    <x v="2"/>
    <x v="5"/>
    <x v="7"/>
    <x v="2"/>
    <n v="2"/>
    <n v="2226"/>
    <n v="15"/>
    <x v="2"/>
    <n v="3784.2"/>
  </r>
  <r>
    <s v="ORD1129"/>
    <x v="105"/>
    <x v="3"/>
    <x v="3"/>
    <x v="2"/>
    <x v="1"/>
    <n v="3"/>
    <n v="14648"/>
    <n v="15"/>
    <x v="3"/>
    <n v="37352.400000000001"/>
  </r>
  <r>
    <s v="ORD1130"/>
    <x v="106"/>
    <x v="1"/>
    <x v="3"/>
    <x v="9"/>
    <x v="2"/>
    <n v="6"/>
    <n v="38840"/>
    <n v="5"/>
    <x v="3"/>
    <n v="221388"/>
  </r>
  <r>
    <s v="ORD1131"/>
    <x v="107"/>
    <x v="0"/>
    <x v="1"/>
    <x v="6"/>
    <x v="2"/>
    <n v="4"/>
    <n v="45924"/>
    <n v="0"/>
    <x v="4"/>
    <n v="183696"/>
  </r>
  <r>
    <s v="ORD1132"/>
    <x v="108"/>
    <x v="1"/>
    <x v="3"/>
    <x v="6"/>
    <x v="2"/>
    <n v="6"/>
    <n v="22739"/>
    <n v="20"/>
    <x v="0"/>
    <n v="109147.2"/>
  </r>
  <r>
    <s v="ORD1133"/>
    <x v="109"/>
    <x v="0"/>
    <x v="5"/>
    <x v="0"/>
    <x v="2"/>
    <n v="6"/>
    <n v="24173"/>
    <n v="0"/>
    <x v="1"/>
    <n v="145038"/>
  </r>
  <r>
    <s v="ORD1134"/>
    <x v="110"/>
    <x v="1"/>
    <x v="7"/>
    <x v="4"/>
    <x v="1"/>
    <n v="5"/>
    <n v="5339"/>
    <n v="15"/>
    <x v="1"/>
    <n v="22690.75"/>
  </r>
  <r>
    <s v="ORD1135"/>
    <x v="111"/>
    <x v="2"/>
    <x v="6"/>
    <x v="9"/>
    <x v="2"/>
    <n v="5"/>
    <n v="10784"/>
    <n v="5"/>
    <x v="4"/>
    <n v="51224"/>
  </r>
  <r>
    <s v="ORD1136"/>
    <x v="51"/>
    <x v="0"/>
    <x v="2"/>
    <x v="4"/>
    <x v="2"/>
    <n v="10"/>
    <n v="19380"/>
    <n v="5"/>
    <x v="1"/>
    <n v="184110"/>
  </r>
  <r>
    <s v="ORD1137"/>
    <x v="31"/>
    <x v="2"/>
    <x v="1"/>
    <x v="8"/>
    <x v="2"/>
    <n v="7"/>
    <n v="3042"/>
    <n v="10"/>
    <x v="1"/>
    <n v="19164.599999999999"/>
  </r>
  <r>
    <s v="ORD1138"/>
    <x v="112"/>
    <x v="1"/>
    <x v="3"/>
    <x v="4"/>
    <x v="1"/>
    <n v="5"/>
    <n v="23226"/>
    <n v="10"/>
    <x v="0"/>
    <n v="104517"/>
  </r>
  <r>
    <s v="ORD1139"/>
    <x v="12"/>
    <x v="0"/>
    <x v="5"/>
    <x v="7"/>
    <x v="1"/>
    <n v="8"/>
    <n v="25591"/>
    <n v="5"/>
    <x v="2"/>
    <n v="194491.6"/>
  </r>
  <r>
    <s v="ORD1140"/>
    <x v="113"/>
    <x v="3"/>
    <x v="1"/>
    <x v="7"/>
    <x v="0"/>
    <n v="6"/>
    <n v="42059"/>
    <n v="0"/>
    <x v="3"/>
    <n v="252354"/>
  </r>
  <r>
    <s v="ORD1141"/>
    <x v="114"/>
    <x v="3"/>
    <x v="0"/>
    <x v="0"/>
    <x v="2"/>
    <n v="10"/>
    <n v="36014"/>
    <n v="0"/>
    <x v="0"/>
    <n v="360140"/>
  </r>
  <r>
    <s v="ORD1142"/>
    <x v="115"/>
    <x v="0"/>
    <x v="2"/>
    <x v="8"/>
    <x v="0"/>
    <n v="9"/>
    <n v="11876"/>
    <n v="15"/>
    <x v="4"/>
    <n v="90851.4"/>
  </r>
  <r>
    <s v="ORD1143"/>
    <x v="116"/>
    <x v="1"/>
    <x v="5"/>
    <x v="0"/>
    <x v="0"/>
    <n v="8"/>
    <n v="38419"/>
    <n v="10"/>
    <x v="4"/>
    <n v="276616.8"/>
  </r>
  <r>
    <s v="ORD1144"/>
    <x v="113"/>
    <x v="3"/>
    <x v="7"/>
    <x v="2"/>
    <x v="1"/>
    <n v="7"/>
    <n v="40694"/>
    <n v="5"/>
    <x v="1"/>
    <n v="270615.09999999998"/>
  </r>
  <r>
    <s v="ORD1145"/>
    <x v="117"/>
    <x v="0"/>
    <x v="1"/>
    <x v="1"/>
    <x v="0"/>
    <n v="3"/>
    <n v="26530"/>
    <n v="15"/>
    <x v="1"/>
    <n v="67651.5"/>
  </r>
  <r>
    <s v="ORD1146"/>
    <x v="118"/>
    <x v="3"/>
    <x v="4"/>
    <x v="4"/>
    <x v="0"/>
    <n v="3"/>
    <n v="13280"/>
    <n v="20"/>
    <x v="0"/>
    <n v="31872"/>
  </r>
  <r>
    <s v="ORD1147"/>
    <x v="119"/>
    <x v="0"/>
    <x v="4"/>
    <x v="5"/>
    <x v="2"/>
    <n v="1"/>
    <n v="40006"/>
    <n v="20"/>
    <x v="4"/>
    <n v="32004.799999999999"/>
  </r>
  <r>
    <s v="ORD1148"/>
    <x v="120"/>
    <x v="1"/>
    <x v="2"/>
    <x v="5"/>
    <x v="0"/>
    <n v="3"/>
    <n v="8657"/>
    <n v="0"/>
    <x v="4"/>
    <n v="25971"/>
  </r>
  <r>
    <s v="ORD1149"/>
    <x v="121"/>
    <x v="1"/>
    <x v="6"/>
    <x v="3"/>
    <x v="0"/>
    <n v="4"/>
    <n v="21203"/>
    <n v="15"/>
    <x v="3"/>
    <n v="72090.2"/>
  </r>
  <r>
    <s v="ORD1150"/>
    <x v="112"/>
    <x v="2"/>
    <x v="4"/>
    <x v="4"/>
    <x v="1"/>
    <n v="5"/>
    <n v="47220"/>
    <n v="15"/>
    <x v="0"/>
    <n v="200685"/>
  </r>
  <r>
    <s v="ORD1151"/>
    <x v="122"/>
    <x v="3"/>
    <x v="6"/>
    <x v="7"/>
    <x v="0"/>
    <n v="2"/>
    <n v="21611"/>
    <n v="5"/>
    <x v="3"/>
    <n v="41060.9"/>
  </r>
  <r>
    <s v="ORD1152"/>
    <x v="72"/>
    <x v="2"/>
    <x v="1"/>
    <x v="4"/>
    <x v="1"/>
    <n v="4"/>
    <n v="47520"/>
    <n v="15"/>
    <x v="0"/>
    <n v="161568"/>
  </r>
  <r>
    <s v="ORD1153"/>
    <x v="45"/>
    <x v="1"/>
    <x v="1"/>
    <x v="0"/>
    <x v="2"/>
    <n v="3"/>
    <n v="3072"/>
    <n v="5"/>
    <x v="2"/>
    <n v="8755.1999999999989"/>
  </r>
  <r>
    <s v="ORD1154"/>
    <x v="71"/>
    <x v="0"/>
    <x v="3"/>
    <x v="9"/>
    <x v="1"/>
    <n v="7"/>
    <n v="18792"/>
    <n v="10"/>
    <x v="4"/>
    <n v="118389.6"/>
  </r>
  <r>
    <s v="ORD1155"/>
    <x v="123"/>
    <x v="1"/>
    <x v="2"/>
    <x v="8"/>
    <x v="0"/>
    <n v="2"/>
    <n v="28123"/>
    <n v="15"/>
    <x v="1"/>
    <n v="47809.1"/>
  </r>
  <r>
    <s v="ORD1156"/>
    <x v="33"/>
    <x v="1"/>
    <x v="7"/>
    <x v="4"/>
    <x v="0"/>
    <n v="2"/>
    <n v="6688"/>
    <n v="0"/>
    <x v="4"/>
    <n v="13376"/>
  </r>
  <r>
    <s v="ORD1157"/>
    <x v="1"/>
    <x v="0"/>
    <x v="0"/>
    <x v="1"/>
    <x v="2"/>
    <n v="2"/>
    <n v="33574"/>
    <n v="0"/>
    <x v="2"/>
    <n v="67148"/>
  </r>
  <r>
    <s v="ORD1158"/>
    <x v="50"/>
    <x v="2"/>
    <x v="5"/>
    <x v="4"/>
    <x v="1"/>
    <n v="8"/>
    <n v="16574"/>
    <n v="15"/>
    <x v="0"/>
    <n v="112703.2"/>
  </r>
  <r>
    <s v="ORD1159"/>
    <x v="124"/>
    <x v="3"/>
    <x v="4"/>
    <x v="7"/>
    <x v="0"/>
    <n v="9"/>
    <n v="25352"/>
    <n v="10"/>
    <x v="2"/>
    <n v="205351.2"/>
  </r>
  <r>
    <s v="ORD1160"/>
    <x v="125"/>
    <x v="1"/>
    <x v="7"/>
    <x v="9"/>
    <x v="2"/>
    <n v="1"/>
    <n v="30616"/>
    <n v="20"/>
    <x v="4"/>
    <n v="24492.799999999999"/>
  </r>
  <r>
    <s v="ORD1161"/>
    <x v="63"/>
    <x v="1"/>
    <x v="3"/>
    <x v="7"/>
    <x v="0"/>
    <n v="1"/>
    <n v="20833"/>
    <n v="0"/>
    <x v="3"/>
    <n v="20833"/>
  </r>
  <r>
    <s v="ORD1162"/>
    <x v="126"/>
    <x v="3"/>
    <x v="5"/>
    <x v="8"/>
    <x v="1"/>
    <n v="7"/>
    <n v="15164"/>
    <n v="10"/>
    <x v="0"/>
    <n v="95533.2"/>
  </r>
  <r>
    <s v="ORD1163"/>
    <x v="100"/>
    <x v="1"/>
    <x v="2"/>
    <x v="5"/>
    <x v="1"/>
    <n v="9"/>
    <n v="35412"/>
    <n v="15"/>
    <x v="3"/>
    <n v="270901.8"/>
  </r>
  <r>
    <s v="ORD1164"/>
    <x v="127"/>
    <x v="3"/>
    <x v="5"/>
    <x v="2"/>
    <x v="0"/>
    <n v="2"/>
    <n v="20812"/>
    <n v="10"/>
    <x v="2"/>
    <n v="37461.599999999999"/>
  </r>
  <r>
    <s v="ORD1165"/>
    <x v="128"/>
    <x v="3"/>
    <x v="0"/>
    <x v="2"/>
    <x v="2"/>
    <n v="2"/>
    <n v="12469"/>
    <n v="20"/>
    <x v="1"/>
    <n v="19950.400000000001"/>
  </r>
  <r>
    <s v="ORD1166"/>
    <x v="129"/>
    <x v="3"/>
    <x v="5"/>
    <x v="9"/>
    <x v="2"/>
    <n v="5"/>
    <n v="8355"/>
    <n v="20"/>
    <x v="0"/>
    <n v="33420"/>
  </r>
  <r>
    <s v="ORD1167"/>
    <x v="130"/>
    <x v="0"/>
    <x v="2"/>
    <x v="7"/>
    <x v="2"/>
    <n v="10"/>
    <n v="25524"/>
    <n v="20"/>
    <x v="4"/>
    <n v="204192"/>
  </r>
  <r>
    <s v="ORD1168"/>
    <x v="131"/>
    <x v="2"/>
    <x v="7"/>
    <x v="2"/>
    <x v="2"/>
    <n v="3"/>
    <n v="3450"/>
    <n v="5"/>
    <x v="3"/>
    <n v="9832.5"/>
  </r>
  <r>
    <s v="ORD1169"/>
    <x v="132"/>
    <x v="2"/>
    <x v="0"/>
    <x v="2"/>
    <x v="0"/>
    <n v="2"/>
    <n v="14244"/>
    <n v="0"/>
    <x v="2"/>
    <n v="28488"/>
  </r>
  <r>
    <s v="ORD1170"/>
    <x v="0"/>
    <x v="0"/>
    <x v="6"/>
    <x v="8"/>
    <x v="2"/>
    <n v="7"/>
    <n v="7068"/>
    <n v="20"/>
    <x v="0"/>
    <n v="39580.800000000003"/>
  </r>
  <r>
    <s v="ORD1171"/>
    <x v="129"/>
    <x v="2"/>
    <x v="3"/>
    <x v="1"/>
    <x v="2"/>
    <n v="5"/>
    <n v="30083"/>
    <n v="10"/>
    <x v="1"/>
    <n v="135373.5"/>
  </r>
  <r>
    <s v="ORD1172"/>
    <x v="75"/>
    <x v="2"/>
    <x v="5"/>
    <x v="0"/>
    <x v="2"/>
    <n v="4"/>
    <n v="34160"/>
    <n v="0"/>
    <x v="0"/>
    <n v="136640"/>
  </r>
  <r>
    <s v="ORD1173"/>
    <x v="22"/>
    <x v="2"/>
    <x v="1"/>
    <x v="8"/>
    <x v="1"/>
    <n v="4"/>
    <n v="2634"/>
    <n v="20"/>
    <x v="1"/>
    <n v="8428.8000000000011"/>
  </r>
  <r>
    <s v="ORD1174"/>
    <x v="111"/>
    <x v="1"/>
    <x v="4"/>
    <x v="3"/>
    <x v="0"/>
    <n v="5"/>
    <n v="32631"/>
    <n v="10"/>
    <x v="2"/>
    <n v="146839.5"/>
  </r>
  <r>
    <s v="ORD1175"/>
    <x v="133"/>
    <x v="0"/>
    <x v="5"/>
    <x v="3"/>
    <x v="2"/>
    <n v="8"/>
    <n v="33771"/>
    <n v="0"/>
    <x v="3"/>
    <n v="270168"/>
  </r>
  <r>
    <s v="ORD1176"/>
    <x v="134"/>
    <x v="2"/>
    <x v="6"/>
    <x v="9"/>
    <x v="2"/>
    <n v="3"/>
    <n v="11097"/>
    <n v="0"/>
    <x v="0"/>
    <n v="33291"/>
  </r>
  <r>
    <s v="ORD1177"/>
    <x v="135"/>
    <x v="0"/>
    <x v="5"/>
    <x v="8"/>
    <x v="1"/>
    <n v="3"/>
    <n v="13465"/>
    <n v="15"/>
    <x v="0"/>
    <n v="34335.75"/>
  </r>
  <r>
    <s v="ORD1178"/>
    <x v="136"/>
    <x v="2"/>
    <x v="2"/>
    <x v="7"/>
    <x v="2"/>
    <n v="9"/>
    <n v="23289"/>
    <n v="10"/>
    <x v="3"/>
    <n v="188640.9"/>
  </r>
  <r>
    <s v="ORD1179"/>
    <x v="137"/>
    <x v="2"/>
    <x v="7"/>
    <x v="5"/>
    <x v="2"/>
    <n v="3"/>
    <n v="32684"/>
    <n v="15"/>
    <x v="0"/>
    <n v="83344.2"/>
  </r>
  <r>
    <s v="ORD1180"/>
    <x v="138"/>
    <x v="0"/>
    <x v="7"/>
    <x v="5"/>
    <x v="0"/>
    <n v="1"/>
    <n v="49001"/>
    <n v="20"/>
    <x v="0"/>
    <n v="39200.800000000003"/>
  </r>
  <r>
    <s v="ORD1181"/>
    <x v="139"/>
    <x v="3"/>
    <x v="1"/>
    <x v="5"/>
    <x v="1"/>
    <n v="1"/>
    <n v="35316"/>
    <n v="0"/>
    <x v="4"/>
    <n v="35316"/>
  </r>
  <r>
    <s v="ORD1182"/>
    <x v="140"/>
    <x v="0"/>
    <x v="3"/>
    <x v="0"/>
    <x v="1"/>
    <n v="6"/>
    <n v="21339"/>
    <n v="10"/>
    <x v="0"/>
    <n v="115230.6"/>
  </r>
  <r>
    <s v="ORD1183"/>
    <x v="141"/>
    <x v="3"/>
    <x v="1"/>
    <x v="3"/>
    <x v="1"/>
    <n v="6"/>
    <n v="22452"/>
    <n v="10"/>
    <x v="4"/>
    <n v="121240.8"/>
  </r>
  <r>
    <s v="ORD1184"/>
    <x v="1"/>
    <x v="1"/>
    <x v="3"/>
    <x v="9"/>
    <x v="2"/>
    <n v="8"/>
    <n v="10390"/>
    <n v="5"/>
    <x v="0"/>
    <n v="78964"/>
  </r>
  <r>
    <s v="ORD1185"/>
    <x v="53"/>
    <x v="0"/>
    <x v="2"/>
    <x v="2"/>
    <x v="1"/>
    <n v="8"/>
    <n v="7439"/>
    <n v="20"/>
    <x v="3"/>
    <n v="47609.600000000013"/>
  </r>
  <r>
    <s v="ORD1186"/>
    <x v="142"/>
    <x v="3"/>
    <x v="4"/>
    <x v="6"/>
    <x v="2"/>
    <n v="9"/>
    <n v="34826"/>
    <n v="0"/>
    <x v="2"/>
    <n v="313434"/>
  </r>
  <r>
    <s v="ORD1187"/>
    <x v="143"/>
    <x v="2"/>
    <x v="3"/>
    <x v="9"/>
    <x v="0"/>
    <n v="5"/>
    <n v="45349"/>
    <n v="20"/>
    <x v="0"/>
    <n v="181396"/>
  </r>
  <r>
    <s v="ORD1188"/>
    <x v="144"/>
    <x v="1"/>
    <x v="7"/>
    <x v="7"/>
    <x v="0"/>
    <n v="9"/>
    <n v="9697"/>
    <n v="5"/>
    <x v="3"/>
    <n v="82909.349999999991"/>
  </r>
  <r>
    <s v="ORD1189"/>
    <x v="145"/>
    <x v="0"/>
    <x v="7"/>
    <x v="4"/>
    <x v="2"/>
    <n v="8"/>
    <n v="14447"/>
    <n v="5"/>
    <x v="2"/>
    <n v="109797.2"/>
  </r>
  <r>
    <s v="ORD1190"/>
    <x v="91"/>
    <x v="3"/>
    <x v="6"/>
    <x v="3"/>
    <x v="1"/>
    <n v="3"/>
    <n v="48485"/>
    <n v="10"/>
    <x v="4"/>
    <n v="130909.5"/>
  </r>
  <r>
    <s v="ORD1191"/>
    <x v="48"/>
    <x v="3"/>
    <x v="3"/>
    <x v="2"/>
    <x v="0"/>
    <n v="9"/>
    <n v="3395"/>
    <n v="5"/>
    <x v="3"/>
    <n v="29027.25"/>
  </r>
  <r>
    <s v="ORD1192"/>
    <x v="146"/>
    <x v="0"/>
    <x v="2"/>
    <x v="8"/>
    <x v="2"/>
    <n v="3"/>
    <n v="31105"/>
    <n v="20"/>
    <x v="1"/>
    <n v="74652"/>
  </r>
  <r>
    <s v="ORD1193"/>
    <x v="147"/>
    <x v="3"/>
    <x v="6"/>
    <x v="2"/>
    <x v="1"/>
    <n v="10"/>
    <n v="26400"/>
    <n v="0"/>
    <x v="2"/>
    <n v="264000"/>
  </r>
  <r>
    <s v="ORD1194"/>
    <x v="57"/>
    <x v="0"/>
    <x v="6"/>
    <x v="0"/>
    <x v="0"/>
    <n v="10"/>
    <n v="47771"/>
    <n v="15"/>
    <x v="2"/>
    <n v="406053.5"/>
  </r>
  <r>
    <s v="ORD1195"/>
    <x v="148"/>
    <x v="3"/>
    <x v="0"/>
    <x v="6"/>
    <x v="2"/>
    <n v="8"/>
    <n v="35232"/>
    <n v="20"/>
    <x v="1"/>
    <n v="225484.79999999999"/>
  </r>
  <r>
    <s v="ORD1196"/>
    <x v="149"/>
    <x v="2"/>
    <x v="7"/>
    <x v="0"/>
    <x v="2"/>
    <n v="10"/>
    <n v="8591"/>
    <n v="5"/>
    <x v="2"/>
    <n v="81614.5"/>
  </r>
  <r>
    <s v="ORD1197"/>
    <x v="150"/>
    <x v="0"/>
    <x v="1"/>
    <x v="6"/>
    <x v="2"/>
    <n v="7"/>
    <n v="1269"/>
    <n v="5"/>
    <x v="2"/>
    <n v="8438.85"/>
  </r>
  <r>
    <s v="ORD1198"/>
    <x v="151"/>
    <x v="0"/>
    <x v="1"/>
    <x v="7"/>
    <x v="2"/>
    <n v="9"/>
    <n v="21380"/>
    <n v="10"/>
    <x v="1"/>
    <n v="173178"/>
  </r>
  <r>
    <s v="ORD1199"/>
    <x v="152"/>
    <x v="1"/>
    <x v="2"/>
    <x v="2"/>
    <x v="1"/>
    <n v="9"/>
    <n v="3885"/>
    <n v="10"/>
    <x v="3"/>
    <n v="31468.5"/>
  </r>
  <r>
    <s v="ORD1200"/>
    <x v="153"/>
    <x v="2"/>
    <x v="3"/>
    <x v="1"/>
    <x v="2"/>
    <n v="5"/>
    <n v="46026"/>
    <n v="10"/>
    <x v="0"/>
    <n v="207117"/>
  </r>
  <r>
    <s v="ORD1201"/>
    <x v="154"/>
    <x v="0"/>
    <x v="6"/>
    <x v="9"/>
    <x v="2"/>
    <n v="6"/>
    <n v="39947"/>
    <n v="20"/>
    <x v="2"/>
    <n v="191745.6"/>
  </r>
  <r>
    <s v="ORD1202"/>
    <x v="42"/>
    <x v="3"/>
    <x v="7"/>
    <x v="6"/>
    <x v="2"/>
    <n v="8"/>
    <n v="6706"/>
    <n v="15"/>
    <x v="3"/>
    <n v="45600.800000000003"/>
  </r>
  <r>
    <s v="ORD1203"/>
    <x v="118"/>
    <x v="3"/>
    <x v="3"/>
    <x v="9"/>
    <x v="2"/>
    <n v="9"/>
    <n v="22842"/>
    <n v="10"/>
    <x v="3"/>
    <n v="185020.2"/>
  </r>
  <r>
    <s v="ORD1204"/>
    <x v="155"/>
    <x v="3"/>
    <x v="6"/>
    <x v="1"/>
    <x v="0"/>
    <n v="4"/>
    <n v="31597"/>
    <n v="0"/>
    <x v="1"/>
    <n v="126388"/>
  </r>
  <r>
    <s v="ORD1205"/>
    <x v="12"/>
    <x v="1"/>
    <x v="3"/>
    <x v="5"/>
    <x v="2"/>
    <n v="2"/>
    <n v="4023"/>
    <n v="0"/>
    <x v="3"/>
    <n v="8046"/>
  </r>
  <r>
    <s v="ORD1206"/>
    <x v="90"/>
    <x v="0"/>
    <x v="0"/>
    <x v="6"/>
    <x v="0"/>
    <n v="8"/>
    <n v="7756"/>
    <n v="10"/>
    <x v="1"/>
    <n v="55843.199999999997"/>
  </r>
  <r>
    <s v="ORD1207"/>
    <x v="135"/>
    <x v="3"/>
    <x v="3"/>
    <x v="1"/>
    <x v="1"/>
    <n v="5"/>
    <n v="35116"/>
    <n v="10"/>
    <x v="3"/>
    <n v="158022"/>
  </r>
  <r>
    <s v="ORD1208"/>
    <x v="156"/>
    <x v="1"/>
    <x v="1"/>
    <x v="2"/>
    <x v="1"/>
    <n v="6"/>
    <n v="44187"/>
    <n v="15"/>
    <x v="0"/>
    <n v="225353.7"/>
  </r>
  <r>
    <s v="ORD1209"/>
    <x v="157"/>
    <x v="1"/>
    <x v="4"/>
    <x v="3"/>
    <x v="0"/>
    <n v="7"/>
    <n v="49860"/>
    <n v="15"/>
    <x v="4"/>
    <n v="296667"/>
  </r>
  <r>
    <s v="ORD1210"/>
    <x v="158"/>
    <x v="0"/>
    <x v="3"/>
    <x v="8"/>
    <x v="2"/>
    <n v="5"/>
    <n v="21478"/>
    <n v="20"/>
    <x v="3"/>
    <n v="85912"/>
  </r>
  <r>
    <s v="ORD1211"/>
    <x v="159"/>
    <x v="3"/>
    <x v="0"/>
    <x v="7"/>
    <x v="0"/>
    <n v="3"/>
    <n v="2473"/>
    <n v="20"/>
    <x v="3"/>
    <n v="5935.2000000000007"/>
  </r>
  <r>
    <s v="ORD1212"/>
    <x v="104"/>
    <x v="2"/>
    <x v="3"/>
    <x v="1"/>
    <x v="0"/>
    <n v="5"/>
    <n v="38850"/>
    <n v="0"/>
    <x v="3"/>
    <n v="194250"/>
  </r>
  <r>
    <s v="ORD1213"/>
    <x v="70"/>
    <x v="3"/>
    <x v="5"/>
    <x v="5"/>
    <x v="0"/>
    <n v="1"/>
    <n v="21456"/>
    <n v="15"/>
    <x v="1"/>
    <n v="18237.599999999999"/>
  </r>
  <r>
    <s v="ORD1214"/>
    <x v="23"/>
    <x v="2"/>
    <x v="0"/>
    <x v="0"/>
    <x v="2"/>
    <n v="1"/>
    <n v="42867"/>
    <n v="20"/>
    <x v="2"/>
    <n v="34293.599999999999"/>
  </r>
  <r>
    <s v="ORD1215"/>
    <x v="133"/>
    <x v="2"/>
    <x v="4"/>
    <x v="7"/>
    <x v="2"/>
    <n v="9"/>
    <n v="14752"/>
    <n v="20"/>
    <x v="1"/>
    <n v="106214.39999999999"/>
  </r>
  <r>
    <s v="ORD1216"/>
    <x v="160"/>
    <x v="3"/>
    <x v="5"/>
    <x v="3"/>
    <x v="0"/>
    <n v="3"/>
    <n v="22029"/>
    <n v="10"/>
    <x v="0"/>
    <n v="59478.3"/>
  </r>
  <r>
    <s v="ORD1217"/>
    <x v="161"/>
    <x v="2"/>
    <x v="0"/>
    <x v="7"/>
    <x v="1"/>
    <n v="6"/>
    <n v="14143"/>
    <n v="15"/>
    <x v="1"/>
    <n v="72129.3"/>
  </r>
  <r>
    <s v="ORD1218"/>
    <x v="162"/>
    <x v="1"/>
    <x v="7"/>
    <x v="9"/>
    <x v="0"/>
    <n v="5"/>
    <n v="13618"/>
    <n v="20"/>
    <x v="2"/>
    <n v="54472"/>
  </r>
  <r>
    <s v="ORD1219"/>
    <x v="163"/>
    <x v="1"/>
    <x v="6"/>
    <x v="6"/>
    <x v="1"/>
    <n v="8"/>
    <n v="19780"/>
    <n v="10"/>
    <x v="0"/>
    <n v="142416"/>
  </r>
  <r>
    <s v="ORD1220"/>
    <x v="98"/>
    <x v="3"/>
    <x v="0"/>
    <x v="1"/>
    <x v="1"/>
    <n v="9"/>
    <n v="19130"/>
    <n v="0"/>
    <x v="2"/>
    <n v="172170"/>
  </r>
  <r>
    <s v="ORD1221"/>
    <x v="164"/>
    <x v="0"/>
    <x v="4"/>
    <x v="5"/>
    <x v="2"/>
    <n v="1"/>
    <n v="35883"/>
    <n v="5"/>
    <x v="2"/>
    <n v="34088.85"/>
  </r>
  <r>
    <s v="ORD1222"/>
    <x v="114"/>
    <x v="1"/>
    <x v="2"/>
    <x v="0"/>
    <x v="1"/>
    <n v="8"/>
    <n v="21915"/>
    <n v="15"/>
    <x v="4"/>
    <n v="149022"/>
  </r>
  <r>
    <s v="ORD1223"/>
    <x v="165"/>
    <x v="3"/>
    <x v="6"/>
    <x v="8"/>
    <x v="0"/>
    <n v="8"/>
    <n v="29908"/>
    <n v="0"/>
    <x v="0"/>
    <n v="239264"/>
  </r>
  <r>
    <s v="ORD1224"/>
    <x v="166"/>
    <x v="2"/>
    <x v="0"/>
    <x v="4"/>
    <x v="0"/>
    <n v="5"/>
    <n v="44982"/>
    <n v="0"/>
    <x v="4"/>
    <n v="224910"/>
  </r>
  <r>
    <s v="ORD1225"/>
    <x v="28"/>
    <x v="1"/>
    <x v="6"/>
    <x v="0"/>
    <x v="2"/>
    <n v="1"/>
    <n v="8710"/>
    <n v="15"/>
    <x v="4"/>
    <n v="7403.5"/>
  </r>
  <r>
    <s v="ORD1226"/>
    <x v="120"/>
    <x v="3"/>
    <x v="3"/>
    <x v="0"/>
    <x v="1"/>
    <n v="7"/>
    <n v="18868"/>
    <n v="5"/>
    <x v="2"/>
    <n v="125472.2"/>
  </r>
  <r>
    <s v="ORD1227"/>
    <x v="85"/>
    <x v="3"/>
    <x v="0"/>
    <x v="3"/>
    <x v="0"/>
    <n v="5"/>
    <n v="10785"/>
    <n v="10"/>
    <x v="4"/>
    <n v="48532.5"/>
  </r>
  <r>
    <s v="ORD1228"/>
    <x v="28"/>
    <x v="0"/>
    <x v="5"/>
    <x v="6"/>
    <x v="1"/>
    <n v="10"/>
    <n v="11321"/>
    <n v="0"/>
    <x v="1"/>
    <n v="113210"/>
  </r>
  <r>
    <s v="ORD1229"/>
    <x v="26"/>
    <x v="2"/>
    <x v="4"/>
    <x v="7"/>
    <x v="1"/>
    <n v="4"/>
    <n v="18933"/>
    <n v="0"/>
    <x v="4"/>
    <n v="75732"/>
  </r>
  <r>
    <s v="ORD1230"/>
    <x v="30"/>
    <x v="2"/>
    <x v="1"/>
    <x v="0"/>
    <x v="2"/>
    <n v="1"/>
    <n v="8501"/>
    <n v="5"/>
    <x v="4"/>
    <n v="8075.95"/>
  </r>
  <r>
    <s v="ORD1231"/>
    <x v="74"/>
    <x v="2"/>
    <x v="1"/>
    <x v="5"/>
    <x v="0"/>
    <n v="9"/>
    <n v="1999"/>
    <n v="10"/>
    <x v="2"/>
    <n v="16191.9"/>
  </r>
  <r>
    <s v="ORD1232"/>
    <x v="167"/>
    <x v="3"/>
    <x v="4"/>
    <x v="2"/>
    <x v="0"/>
    <n v="6"/>
    <n v="41825"/>
    <n v="0"/>
    <x v="3"/>
    <n v="250950"/>
  </r>
  <r>
    <s v="ORD1233"/>
    <x v="168"/>
    <x v="3"/>
    <x v="2"/>
    <x v="1"/>
    <x v="0"/>
    <n v="4"/>
    <n v="37675"/>
    <n v="5"/>
    <x v="1"/>
    <n v="143165"/>
  </r>
  <r>
    <s v="ORD1234"/>
    <x v="169"/>
    <x v="2"/>
    <x v="4"/>
    <x v="8"/>
    <x v="1"/>
    <n v="7"/>
    <n v="34689"/>
    <n v="15"/>
    <x v="2"/>
    <n v="206399.55"/>
  </r>
  <r>
    <s v="ORD1235"/>
    <x v="85"/>
    <x v="3"/>
    <x v="3"/>
    <x v="8"/>
    <x v="2"/>
    <n v="9"/>
    <n v="7709"/>
    <n v="5"/>
    <x v="3"/>
    <n v="65911.95"/>
  </r>
  <r>
    <s v="ORD1236"/>
    <x v="170"/>
    <x v="0"/>
    <x v="4"/>
    <x v="0"/>
    <x v="0"/>
    <n v="7"/>
    <n v="14538"/>
    <n v="5"/>
    <x v="1"/>
    <n v="96677.7"/>
  </r>
  <r>
    <s v="ORD1237"/>
    <x v="13"/>
    <x v="3"/>
    <x v="4"/>
    <x v="5"/>
    <x v="2"/>
    <n v="7"/>
    <n v="36555"/>
    <n v="20"/>
    <x v="0"/>
    <n v="204708"/>
  </r>
  <r>
    <s v="ORD1238"/>
    <x v="171"/>
    <x v="3"/>
    <x v="6"/>
    <x v="1"/>
    <x v="2"/>
    <n v="4"/>
    <n v="23958"/>
    <n v="0"/>
    <x v="1"/>
    <n v="95832"/>
  </r>
  <r>
    <s v="ORD1239"/>
    <x v="74"/>
    <x v="1"/>
    <x v="1"/>
    <x v="1"/>
    <x v="2"/>
    <n v="3"/>
    <n v="37003"/>
    <n v="10"/>
    <x v="0"/>
    <n v="99908.1"/>
  </r>
  <r>
    <s v="ORD1240"/>
    <x v="172"/>
    <x v="0"/>
    <x v="2"/>
    <x v="5"/>
    <x v="1"/>
    <n v="7"/>
    <n v="21872"/>
    <n v="15"/>
    <x v="1"/>
    <n v="130138.4"/>
  </r>
  <r>
    <s v="ORD1241"/>
    <x v="173"/>
    <x v="1"/>
    <x v="6"/>
    <x v="7"/>
    <x v="1"/>
    <n v="7"/>
    <n v="18763"/>
    <n v="20"/>
    <x v="3"/>
    <n v="105072.8"/>
  </r>
  <r>
    <s v="ORD1242"/>
    <x v="29"/>
    <x v="2"/>
    <x v="1"/>
    <x v="1"/>
    <x v="2"/>
    <n v="4"/>
    <n v="10277"/>
    <n v="5"/>
    <x v="0"/>
    <n v="39052.6"/>
  </r>
  <r>
    <s v="ORD1243"/>
    <x v="174"/>
    <x v="2"/>
    <x v="4"/>
    <x v="5"/>
    <x v="2"/>
    <n v="5"/>
    <n v="47160"/>
    <n v="15"/>
    <x v="4"/>
    <n v="200430"/>
  </r>
  <r>
    <s v="ORD1244"/>
    <x v="147"/>
    <x v="0"/>
    <x v="1"/>
    <x v="5"/>
    <x v="1"/>
    <n v="2"/>
    <n v="19564"/>
    <n v="10"/>
    <x v="1"/>
    <n v="35215.199999999997"/>
  </r>
  <r>
    <s v="ORD1245"/>
    <x v="175"/>
    <x v="3"/>
    <x v="7"/>
    <x v="8"/>
    <x v="0"/>
    <n v="7"/>
    <n v="38623"/>
    <n v="15"/>
    <x v="0"/>
    <n v="229806.85"/>
  </r>
  <r>
    <s v="ORD1246"/>
    <x v="135"/>
    <x v="1"/>
    <x v="0"/>
    <x v="5"/>
    <x v="2"/>
    <n v="4"/>
    <n v="17044"/>
    <n v="15"/>
    <x v="2"/>
    <n v="57949.599999999999"/>
  </r>
  <r>
    <s v="ORD1247"/>
    <x v="176"/>
    <x v="0"/>
    <x v="0"/>
    <x v="0"/>
    <x v="1"/>
    <n v="9"/>
    <n v="12224"/>
    <n v="0"/>
    <x v="1"/>
    <n v="110016"/>
  </r>
  <r>
    <s v="ORD1248"/>
    <x v="177"/>
    <x v="1"/>
    <x v="5"/>
    <x v="9"/>
    <x v="2"/>
    <n v="10"/>
    <n v="5668"/>
    <n v="10"/>
    <x v="1"/>
    <n v="51012"/>
  </r>
  <r>
    <s v="ORD1249"/>
    <x v="54"/>
    <x v="3"/>
    <x v="3"/>
    <x v="6"/>
    <x v="0"/>
    <n v="5"/>
    <n v="21406"/>
    <n v="5"/>
    <x v="3"/>
    <n v="101678.5"/>
  </r>
  <r>
    <s v="ORD1250"/>
    <x v="178"/>
    <x v="1"/>
    <x v="4"/>
    <x v="3"/>
    <x v="0"/>
    <n v="5"/>
    <n v="41190"/>
    <n v="0"/>
    <x v="3"/>
    <n v="205950"/>
  </r>
  <r>
    <s v="ORD1251"/>
    <x v="179"/>
    <x v="0"/>
    <x v="4"/>
    <x v="8"/>
    <x v="2"/>
    <n v="9"/>
    <n v="23199"/>
    <n v="0"/>
    <x v="3"/>
    <n v="208791"/>
  </r>
  <r>
    <s v="ORD1252"/>
    <x v="178"/>
    <x v="3"/>
    <x v="7"/>
    <x v="9"/>
    <x v="0"/>
    <n v="5"/>
    <n v="36427"/>
    <n v="5"/>
    <x v="0"/>
    <n v="173028.25"/>
  </r>
  <r>
    <s v="ORD1253"/>
    <x v="180"/>
    <x v="3"/>
    <x v="7"/>
    <x v="7"/>
    <x v="2"/>
    <n v="7"/>
    <n v="30074"/>
    <n v="20"/>
    <x v="4"/>
    <n v="168414.4"/>
  </r>
  <r>
    <s v="ORD1254"/>
    <x v="181"/>
    <x v="0"/>
    <x v="3"/>
    <x v="4"/>
    <x v="0"/>
    <n v="4"/>
    <n v="4324"/>
    <n v="10"/>
    <x v="1"/>
    <n v="15566.4"/>
  </r>
  <r>
    <s v="ORD1255"/>
    <x v="182"/>
    <x v="3"/>
    <x v="2"/>
    <x v="7"/>
    <x v="1"/>
    <n v="2"/>
    <n v="9524"/>
    <n v="15"/>
    <x v="0"/>
    <n v="16190.8"/>
  </r>
  <r>
    <s v="ORD1256"/>
    <x v="38"/>
    <x v="1"/>
    <x v="1"/>
    <x v="0"/>
    <x v="2"/>
    <n v="3"/>
    <n v="2900"/>
    <n v="20"/>
    <x v="1"/>
    <n v="6960"/>
  </r>
  <r>
    <s v="ORD1257"/>
    <x v="151"/>
    <x v="2"/>
    <x v="5"/>
    <x v="5"/>
    <x v="2"/>
    <n v="3"/>
    <n v="31850"/>
    <n v="10"/>
    <x v="4"/>
    <n v="85995"/>
  </r>
  <r>
    <s v="ORD1258"/>
    <x v="183"/>
    <x v="0"/>
    <x v="7"/>
    <x v="0"/>
    <x v="1"/>
    <n v="5"/>
    <n v="45269"/>
    <n v="10"/>
    <x v="3"/>
    <n v="203710.5"/>
  </r>
  <r>
    <s v="ORD1259"/>
    <x v="68"/>
    <x v="1"/>
    <x v="6"/>
    <x v="7"/>
    <x v="0"/>
    <n v="2"/>
    <n v="4306"/>
    <n v="15"/>
    <x v="0"/>
    <n v="7320.2"/>
  </r>
  <r>
    <s v="ORD1260"/>
    <x v="12"/>
    <x v="3"/>
    <x v="0"/>
    <x v="6"/>
    <x v="1"/>
    <n v="8"/>
    <n v="7942"/>
    <n v="20"/>
    <x v="4"/>
    <n v="50828.800000000003"/>
  </r>
  <r>
    <s v="ORD1261"/>
    <x v="184"/>
    <x v="2"/>
    <x v="4"/>
    <x v="9"/>
    <x v="0"/>
    <n v="10"/>
    <n v="26139"/>
    <n v="20"/>
    <x v="2"/>
    <n v="209112"/>
  </r>
  <r>
    <s v="ORD1262"/>
    <x v="117"/>
    <x v="1"/>
    <x v="0"/>
    <x v="7"/>
    <x v="0"/>
    <n v="8"/>
    <n v="4525"/>
    <n v="20"/>
    <x v="2"/>
    <n v="28960"/>
  </r>
  <r>
    <s v="ORD1263"/>
    <x v="185"/>
    <x v="0"/>
    <x v="7"/>
    <x v="1"/>
    <x v="2"/>
    <n v="5"/>
    <n v="6643"/>
    <n v="15"/>
    <x v="1"/>
    <n v="28232.75"/>
  </r>
  <r>
    <s v="ORD1264"/>
    <x v="186"/>
    <x v="3"/>
    <x v="7"/>
    <x v="5"/>
    <x v="1"/>
    <n v="10"/>
    <n v="28948"/>
    <n v="15"/>
    <x v="0"/>
    <n v="246058"/>
  </r>
  <r>
    <s v="ORD1265"/>
    <x v="187"/>
    <x v="0"/>
    <x v="6"/>
    <x v="0"/>
    <x v="1"/>
    <n v="8"/>
    <n v="26684"/>
    <n v="10"/>
    <x v="0"/>
    <n v="192124.79999999999"/>
  </r>
  <r>
    <s v="ORD1266"/>
    <x v="188"/>
    <x v="1"/>
    <x v="6"/>
    <x v="8"/>
    <x v="1"/>
    <n v="4"/>
    <n v="12729"/>
    <n v="20"/>
    <x v="1"/>
    <n v="40732.800000000003"/>
  </r>
  <r>
    <s v="ORD1267"/>
    <x v="189"/>
    <x v="2"/>
    <x v="0"/>
    <x v="1"/>
    <x v="1"/>
    <n v="6"/>
    <n v="47181"/>
    <n v="5"/>
    <x v="1"/>
    <n v="268931.7"/>
  </r>
  <r>
    <s v="ORD1268"/>
    <x v="190"/>
    <x v="1"/>
    <x v="3"/>
    <x v="8"/>
    <x v="0"/>
    <n v="1"/>
    <n v="40067"/>
    <n v="10"/>
    <x v="4"/>
    <n v="36060.300000000003"/>
  </r>
  <r>
    <s v="ORD1269"/>
    <x v="191"/>
    <x v="1"/>
    <x v="0"/>
    <x v="1"/>
    <x v="2"/>
    <n v="3"/>
    <n v="39846"/>
    <n v="5"/>
    <x v="4"/>
    <n v="113561.1"/>
  </r>
  <r>
    <s v="ORD1270"/>
    <x v="165"/>
    <x v="3"/>
    <x v="7"/>
    <x v="7"/>
    <x v="2"/>
    <n v="1"/>
    <n v="42252"/>
    <n v="10"/>
    <x v="3"/>
    <n v="38026.800000000003"/>
  </r>
  <r>
    <s v="ORD1271"/>
    <x v="192"/>
    <x v="0"/>
    <x v="0"/>
    <x v="7"/>
    <x v="1"/>
    <n v="9"/>
    <n v="46228"/>
    <n v="5"/>
    <x v="1"/>
    <n v="395249.4"/>
  </r>
  <r>
    <s v="ORD1272"/>
    <x v="193"/>
    <x v="1"/>
    <x v="4"/>
    <x v="8"/>
    <x v="2"/>
    <n v="1"/>
    <n v="46833"/>
    <n v="15"/>
    <x v="3"/>
    <n v="39808.050000000003"/>
  </r>
  <r>
    <s v="ORD1273"/>
    <x v="55"/>
    <x v="1"/>
    <x v="3"/>
    <x v="5"/>
    <x v="2"/>
    <n v="3"/>
    <n v="30218"/>
    <n v="10"/>
    <x v="0"/>
    <n v="81588.600000000006"/>
  </r>
  <r>
    <s v="ORD1274"/>
    <x v="181"/>
    <x v="2"/>
    <x v="7"/>
    <x v="8"/>
    <x v="0"/>
    <n v="2"/>
    <n v="41390"/>
    <n v="10"/>
    <x v="2"/>
    <n v="74502"/>
  </r>
  <r>
    <s v="ORD1275"/>
    <x v="45"/>
    <x v="2"/>
    <x v="7"/>
    <x v="4"/>
    <x v="0"/>
    <n v="5"/>
    <n v="24306"/>
    <n v="0"/>
    <x v="2"/>
    <n v="121530"/>
  </r>
  <r>
    <s v="ORD1276"/>
    <x v="27"/>
    <x v="0"/>
    <x v="0"/>
    <x v="6"/>
    <x v="2"/>
    <n v="5"/>
    <n v="21476"/>
    <n v="5"/>
    <x v="3"/>
    <n v="102011"/>
  </r>
  <r>
    <s v="ORD1277"/>
    <x v="6"/>
    <x v="0"/>
    <x v="1"/>
    <x v="1"/>
    <x v="1"/>
    <n v="3"/>
    <n v="22779"/>
    <n v="10"/>
    <x v="1"/>
    <n v="61503.3"/>
  </r>
  <r>
    <s v="ORD1278"/>
    <x v="12"/>
    <x v="3"/>
    <x v="5"/>
    <x v="4"/>
    <x v="1"/>
    <n v="8"/>
    <n v="13985"/>
    <n v="10"/>
    <x v="1"/>
    <n v="100692"/>
  </r>
  <r>
    <s v="ORD1279"/>
    <x v="194"/>
    <x v="0"/>
    <x v="7"/>
    <x v="1"/>
    <x v="0"/>
    <n v="1"/>
    <n v="47720"/>
    <n v="15"/>
    <x v="2"/>
    <n v="40562"/>
  </r>
  <r>
    <s v="ORD1280"/>
    <x v="29"/>
    <x v="2"/>
    <x v="2"/>
    <x v="2"/>
    <x v="2"/>
    <n v="4"/>
    <n v="44966"/>
    <n v="5"/>
    <x v="2"/>
    <n v="170870.8"/>
  </r>
  <r>
    <s v="ORD1281"/>
    <x v="78"/>
    <x v="0"/>
    <x v="2"/>
    <x v="5"/>
    <x v="2"/>
    <n v="2"/>
    <n v="35962"/>
    <n v="20"/>
    <x v="3"/>
    <n v="57539.199999999997"/>
  </r>
  <r>
    <s v="ORD1282"/>
    <x v="193"/>
    <x v="1"/>
    <x v="7"/>
    <x v="4"/>
    <x v="2"/>
    <n v="3"/>
    <n v="6147"/>
    <n v="5"/>
    <x v="3"/>
    <n v="17518.95"/>
  </r>
  <r>
    <s v="ORD1283"/>
    <x v="195"/>
    <x v="0"/>
    <x v="5"/>
    <x v="1"/>
    <x v="0"/>
    <n v="1"/>
    <n v="31519"/>
    <n v="20"/>
    <x v="0"/>
    <n v="25215.200000000001"/>
  </r>
  <r>
    <s v="ORD1284"/>
    <x v="196"/>
    <x v="0"/>
    <x v="1"/>
    <x v="3"/>
    <x v="0"/>
    <n v="8"/>
    <n v="38210"/>
    <n v="10"/>
    <x v="2"/>
    <n v="275112"/>
  </r>
  <r>
    <s v="ORD1285"/>
    <x v="153"/>
    <x v="3"/>
    <x v="7"/>
    <x v="1"/>
    <x v="2"/>
    <n v="4"/>
    <n v="9637"/>
    <n v="5"/>
    <x v="1"/>
    <n v="36620.6"/>
  </r>
  <r>
    <s v="ORD1286"/>
    <x v="189"/>
    <x v="1"/>
    <x v="4"/>
    <x v="8"/>
    <x v="1"/>
    <n v="6"/>
    <n v="7089"/>
    <n v="5"/>
    <x v="0"/>
    <n v="40407.300000000003"/>
  </r>
  <r>
    <s v="ORD1287"/>
    <x v="197"/>
    <x v="3"/>
    <x v="5"/>
    <x v="8"/>
    <x v="1"/>
    <n v="7"/>
    <n v="46783"/>
    <n v="5"/>
    <x v="3"/>
    <n v="311106.95"/>
  </r>
  <r>
    <s v="ORD1288"/>
    <x v="198"/>
    <x v="2"/>
    <x v="5"/>
    <x v="2"/>
    <x v="0"/>
    <n v="5"/>
    <n v="31688"/>
    <n v="5"/>
    <x v="3"/>
    <n v="150518"/>
  </r>
  <r>
    <s v="ORD1289"/>
    <x v="135"/>
    <x v="0"/>
    <x v="0"/>
    <x v="9"/>
    <x v="1"/>
    <n v="8"/>
    <n v="7374"/>
    <n v="5"/>
    <x v="0"/>
    <n v="56042.399999999987"/>
  </r>
  <r>
    <s v="ORD1290"/>
    <x v="199"/>
    <x v="0"/>
    <x v="1"/>
    <x v="1"/>
    <x v="1"/>
    <n v="6"/>
    <n v="30857"/>
    <n v="0"/>
    <x v="4"/>
    <n v="185142"/>
  </r>
  <r>
    <s v="ORD1291"/>
    <x v="15"/>
    <x v="2"/>
    <x v="4"/>
    <x v="8"/>
    <x v="2"/>
    <n v="8"/>
    <n v="21341"/>
    <n v="0"/>
    <x v="2"/>
    <n v="170728"/>
  </r>
  <r>
    <s v="ORD1292"/>
    <x v="173"/>
    <x v="3"/>
    <x v="3"/>
    <x v="6"/>
    <x v="2"/>
    <n v="1"/>
    <n v="45857"/>
    <n v="10"/>
    <x v="0"/>
    <n v="41271.300000000003"/>
  </r>
  <r>
    <s v="ORD1293"/>
    <x v="200"/>
    <x v="1"/>
    <x v="0"/>
    <x v="5"/>
    <x v="1"/>
    <n v="6"/>
    <n v="43232"/>
    <n v="20"/>
    <x v="1"/>
    <n v="207513.60000000001"/>
  </r>
  <r>
    <s v="ORD1294"/>
    <x v="180"/>
    <x v="3"/>
    <x v="2"/>
    <x v="1"/>
    <x v="0"/>
    <n v="2"/>
    <n v="47544"/>
    <n v="5"/>
    <x v="0"/>
    <n v="90333.599999999991"/>
  </r>
  <r>
    <s v="ORD1295"/>
    <x v="147"/>
    <x v="3"/>
    <x v="4"/>
    <x v="0"/>
    <x v="2"/>
    <n v="3"/>
    <n v="31500"/>
    <n v="15"/>
    <x v="4"/>
    <n v="80325"/>
  </r>
  <r>
    <s v="ORD1296"/>
    <x v="201"/>
    <x v="1"/>
    <x v="2"/>
    <x v="5"/>
    <x v="1"/>
    <n v="1"/>
    <n v="31837"/>
    <n v="10"/>
    <x v="2"/>
    <n v="28653.3"/>
  </r>
  <r>
    <s v="ORD1297"/>
    <x v="175"/>
    <x v="0"/>
    <x v="4"/>
    <x v="8"/>
    <x v="2"/>
    <n v="5"/>
    <n v="16184"/>
    <n v="10"/>
    <x v="3"/>
    <n v="72828"/>
  </r>
  <r>
    <s v="ORD1298"/>
    <x v="87"/>
    <x v="3"/>
    <x v="4"/>
    <x v="2"/>
    <x v="2"/>
    <n v="7"/>
    <n v="15666"/>
    <n v="5"/>
    <x v="3"/>
    <n v="104178.9"/>
  </r>
  <r>
    <s v="ORD1299"/>
    <x v="169"/>
    <x v="2"/>
    <x v="1"/>
    <x v="3"/>
    <x v="1"/>
    <n v="2"/>
    <n v="10418"/>
    <n v="5"/>
    <x v="3"/>
    <n v="19794.2"/>
  </r>
  <r>
    <s v="ORD1300"/>
    <x v="154"/>
    <x v="1"/>
    <x v="5"/>
    <x v="3"/>
    <x v="1"/>
    <n v="9"/>
    <n v="41431"/>
    <n v="20"/>
    <x v="3"/>
    <n v="298303.2"/>
  </r>
  <r>
    <s v="ORD1301"/>
    <x v="37"/>
    <x v="0"/>
    <x v="4"/>
    <x v="8"/>
    <x v="0"/>
    <n v="8"/>
    <n v="17911"/>
    <n v="0"/>
    <x v="0"/>
    <n v="143288"/>
  </r>
  <r>
    <s v="ORD1302"/>
    <x v="126"/>
    <x v="1"/>
    <x v="1"/>
    <x v="8"/>
    <x v="1"/>
    <n v="3"/>
    <n v="24819"/>
    <n v="10"/>
    <x v="4"/>
    <n v="67011.3"/>
  </r>
  <r>
    <s v="ORD1303"/>
    <x v="202"/>
    <x v="2"/>
    <x v="3"/>
    <x v="7"/>
    <x v="2"/>
    <n v="4"/>
    <n v="26695"/>
    <n v="10"/>
    <x v="4"/>
    <n v="96102"/>
  </r>
  <r>
    <s v="ORD1304"/>
    <x v="42"/>
    <x v="1"/>
    <x v="7"/>
    <x v="5"/>
    <x v="0"/>
    <n v="5"/>
    <n v="13016"/>
    <n v="5"/>
    <x v="3"/>
    <n v="61826"/>
  </r>
  <r>
    <s v="ORD1305"/>
    <x v="63"/>
    <x v="1"/>
    <x v="7"/>
    <x v="2"/>
    <x v="1"/>
    <n v="7"/>
    <n v="46849"/>
    <n v="10"/>
    <x v="1"/>
    <n v="295148.7"/>
  </r>
  <r>
    <s v="ORD1306"/>
    <x v="203"/>
    <x v="3"/>
    <x v="5"/>
    <x v="5"/>
    <x v="2"/>
    <n v="1"/>
    <n v="44593"/>
    <n v="15"/>
    <x v="3"/>
    <n v="37904.050000000003"/>
  </r>
  <r>
    <s v="ORD1307"/>
    <x v="12"/>
    <x v="2"/>
    <x v="1"/>
    <x v="7"/>
    <x v="0"/>
    <n v="2"/>
    <n v="22648"/>
    <n v="20"/>
    <x v="0"/>
    <n v="36236.800000000003"/>
  </r>
  <r>
    <s v="ORD1308"/>
    <x v="204"/>
    <x v="2"/>
    <x v="3"/>
    <x v="8"/>
    <x v="0"/>
    <n v="4"/>
    <n v="22283"/>
    <n v="5"/>
    <x v="4"/>
    <n v="84675.4"/>
  </r>
  <r>
    <s v="ORD1309"/>
    <x v="205"/>
    <x v="2"/>
    <x v="0"/>
    <x v="5"/>
    <x v="0"/>
    <n v="7"/>
    <n v="30706"/>
    <n v="20"/>
    <x v="2"/>
    <n v="171953.6"/>
  </r>
  <r>
    <s v="ORD1310"/>
    <x v="59"/>
    <x v="1"/>
    <x v="4"/>
    <x v="1"/>
    <x v="2"/>
    <n v="8"/>
    <n v="32949"/>
    <n v="10"/>
    <x v="3"/>
    <n v="237232.8"/>
  </r>
  <r>
    <s v="ORD1311"/>
    <x v="206"/>
    <x v="2"/>
    <x v="4"/>
    <x v="5"/>
    <x v="2"/>
    <n v="4"/>
    <n v="2983"/>
    <n v="0"/>
    <x v="3"/>
    <n v="11932"/>
  </r>
  <r>
    <s v="ORD1312"/>
    <x v="34"/>
    <x v="2"/>
    <x v="1"/>
    <x v="0"/>
    <x v="0"/>
    <n v="1"/>
    <n v="5283"/>
    <n v="0"/>
    <x v="1"/>
    <n v="5283"/>
  </r>
  <r>
    <s v="ORD1313"/>
    <x v="181"/>
    <x v="2"/>
    <x v="4"/>
    <x v="5"/>
    <x v="2"/>
    <n v="4"/>
    <n v="32151"/>
    <n v="15"/>
    <x v="1"/>
    <n v="109313.4"/>
  </r>
  <r>
    <s v="ORD1314"/>
    <x v="207"/>
    <x v="3"/>
    <x v="7"/>
    <x v="4"/>
    <x v="0"/>
    <n v="8"/>
    <n v="8398"/>
    <n v="15"/>
    <x v="4"/>
    <n v="57106.400000000001"/>
  </r>
  <r>
    <s v="ORD1315"/>
    <x v="16"/>
    <x v="2"/>
    <x v="5"/>
    <x v="9"/>
    <x v="0"/>
    <n v="2"/>
    <n v="24032"/>
    <n v="5"/>
    <x v="0"/>
    <n v="45660.800000000003"/>
  </r>
  <r>
    <s v="ORD1316"/>
    <x v="144"/>
    <x v="1"/>
    <x v="7"/>
    <x v="8"/>
    <x v="2"/>
    <n v="9"/>
    <n v="32368"/>
    <n v="15"/>
    <x v="3"/>
    <n v="247615.2"/>
  </r>
  <r>
    <s v="ORD1317"/>
    <x v="208"/>
    <x v="3"/>
    <x v="2"/>
    <x v="1"/>
    <x v="2"/>
    <n v="4"/>
    <n v="31227"/>
    <n v="10"/>
    <x v="2"/>
    <n v="112417.2"/>
  </r>
  <r>
    <s v="ORD1318"/>
    <x v="209"/>
    <x v="2"/>
    <x v="6"/>
    <x v="4"/>
    <x v="0"/>
    <n v="8"/>
    <n v="12193"/>
    <n v="5"/>
    <x v="2"/>
    <n v="92666.8"/>
  </r>
  <r>
    <s v="ORD1319"/>
    <x v="190"/>
    <x v="2"/>
    <x v="3"/>
    <x v="0"/>
    <x v="2"/>
    <n v="7"/>
    <n v="19498"/>
    <n v="0"/>
    <x v="3"/>
    <n v="136486"/>
  </r>
  <r>
    <s v="ORD1320"/>
    <x v="210"/>
    <x v="3"/>
    <x v="2"/>
    <x v="1"/>
    <x v="1"/>
    <n v="5"/>
    <n v="23846"/>
    <n v="20"/>
    <x v="4"/>
    <n v="95384"/>
  </r>
  <r>
    <s v="ORD1321"/>
    <x v="144"/>
    <x v="2"/>
    <x v="6"/>
    <x v="1"/>
    <x v="0"/>
    <n v="6"/>
    <n v="40612"/>
    <n v="20"/>
    <x v="4"/>
    <n v="194937.60000000001"/>
  </r>
  <r>
    <s v="ORD1322"/>
    <x v="197"/>
    <x v="1"/>
    <x v="7"/>
    <x v="8"/>
    <x v="0"/>
    <n v="3"/>
    <n v="38662"/>
    <n v="10"/>
    <x v="1"/>
    <n v="104387.4"/>
  </r>
  <r>
    <s v="ORD1323"/>
    <x v="101"/>
    <x v="1"/>
    <x v="0"/>
    <x v="4"/>
    <x v="2"/>
    <n v="1"/>
    <n v="9348"/>
    <n v="10"/>
    <x v="0"/>
    <n v="8413.2000000000007"/>
  </r>
  <r>
    <s v="ORD1324"/>
    <x v="211"/>
    <x v="2"/>
    <x v="5"/>
    <x v="1"/>
    <x v="2"/>
    <n v="9"/>
    <n v="34288"/>
    <n v="15"/>
    <x v="3"/>
    <n v="262303.2"/>
  </r>
  <r>
    <s v="ORD1325"/>
    <x v="212"/>
    <x v="1"/>
    <x v="4"/>
    <x v="9"/>
    <x v="2"/>
    <n v="9"/>
    <n v="7745"/>
    <n v="10"/>
    <x v="3"/>
    <n v="62734.5"/>
  </r>
  <r>
    <s v="ORD1326"/>
    <x v="136"/>
    <x v="3"/>
    <x v="0"/>
    <x v="7"/>
    <x v="1"/>
    <n v="2"/>
    <n v="27587"/>
    <n v="20"/>
    <x v="1"/>
    <n v="44139.199999999997"/>
  </r>
  <r>
    <s v="ORD1327"/>
    <x v="125"/>
    <x v="2"/>
    <x v="6"/>
    <x v="3"/>
    <x v="2"/>
    <n v="5"/>
    <n v="47810"/>
    <n v="5"/>
    <x v="3"/>
    <n v="227097.5"/>
  </r>
  <r>
    <s v="ORD1328"/>
    <x v="144"/>
    <x v="3"/>
    <x v="7"/>
    <x v="0"/>
    <x v="0"/>
    <n v="8"/>
    <n v="8011"/>
    <n v="20"/>
    <x v="0"/>
    <n v="51270.400000000001"/>
  </r>
  <r>
    <s v="ORD1329"/>
    <x v="106"/>
    <x v="1"/>
    <x v="7"/>
    <x v="0"/>
    <x v="2"/>
    <n v="5"/>
    <n v="22356"/>
    <n v="15"/>
    <x v="2"/>
    <n v="95013"/>
  </r>
  <r>
    <s v="ORD1330"/>
    <x v="213"/>
    <x v="2"/>
    <x v="3"/>
    <x v="4"/>
    <x v="2"/>
    <n v="4"/>
    <n v="37447"/>
    <n v="10"/>
    <x v="2"/>
    <n v="134809.20000000001"/>
  </r>
  <r>
    <s v="ORD1331"/>
    <x v="214"/>
    <x v="3"/>
    <x v="7"/>
    <x v="1"/>
    <x v="0"/>
    <n v="6"/>
    <n v="43562"/>
    <n v="0"/>
    <x v="0"/>
    <n v="261372"/>
  </r>
  <r>
    <s v="ORD1332"/>
    <x v="57"/>
    <x v="1"/>
    <x v="2"/>
    <x v="3"/>
    <x v="0"/>
    <n v="1"/>
    <n v="5648"/>
    <n v="15"/>
    <x v="2"/>
    <n v="4800.8"/>
  </r>
  <r>
    <s v="ORD1333"/>
    <x v="215"/>
    <x v="2"/>
    <x v="5"/>
    <x v="4"/>
    <x v="1"/>
    <n v="4"/>
    <n v="20799"/>
    <n v="0"/>
    <x v="4"/>
    <n v="83196"/>
  </r>
  <r>
    <s v="ORD1334"/>
    <x v="170"/>
    <x v="0"/>
    <x v="0"/>
    <x v="7"/>
    <x v="2"/>
    <n v="2"/>
    <n v="35914"/>
    <n v="5"/>
    <x v="3"/>
    <n v="68236.599999999991"/>
  </r>
  <r>
    <s v="ORD1335"/>
    <x v="216"/>
    <x v="1"/>
    <x v="7"/>
    <x v="7"/>
    <x v="1"/>
    <n v="4"/>
    <n v="31210"/>
    <n v="20"/>
    <x v="0"/>
    <n v="99872"/>
  </r>
  <r>
    <s v="ORD1336"/>
    <x v="217"/>
    <x v="1"/>
    <x v="7"/>
    <x v="2"/>
    <x v="0"/>
    <n v="7"/>
    <n v="27267"/>
    <n v="0"/>
    <x v="4"/>
    <n v="190869"/>
  </r>
  <r>
    <s v="ORD1337"/>
    <x v="191"/>
    <x v="0"/>
    <x v="6"/>
    <x v="9"/>
    <x v="0"/>
    <n v="6"/>
    <n v="39701"/>
    <n v="10"/>
    <x v="1"/>
    <n v="214385.4"/>
  </r>
  <r>
    <s v="ORD1338"/>
    <x v="163"/>
    <x v="0"/>
    <x v="3"/>
    <x v="2"/>
    <x v="0"/>
    <n v="1"/>
    <n v="28095"/>
    <n v="0"/>
    <x v="4"/>
    <n v="28095"/>
  </r>
  <r>
    <s v="ORD1339"/>
    <x v="218"/>
    <x v="3"/>
    <x v="7"/>
    <x v="8"/>
    <x v="0"/>
    <n v="3"/>
    <n v="16635"/>
    <n v="15"/>
    <x v="1"/>
    <n v="42419.25"/>
  </r>
  <r>
    <s v="ORD1340"/>
    <x v="98"/>
    <x v="1"/>
    <x v="7"/>
    <x v="2"/>
    <x v="0"/>
    <n v="5"/>
    <n v="41689"/>
    <n v="20"/>
    <x v="1"/>
    <n v="166756"/>
  </r>
  <r>
    <s v="ORD1341"/>
    <x v="208"/>
    <x v="0"/>
    <x v="4"/>
    <x v="9"/>
    <x v="1"/>
    <n v="10"/>
    <n v="16970"/>
    <n v="5"/>
    <x v="4"/>
    <n v="161215"/>
  </r>
  <r>
    <s v="ORD1342"/>
    <x v="215"/>
    <x v="2"/>
    <x v="7"/>
    <x v="2"/>
    <x v="2"/>
    <n v="2"/>
    <n v="36910"/>
    <n v="15"/>
    <x v="1"/>
    <n v="62747"/>
  </r>
  <r>
    <s v="ORD1343"/>
    <x v="219"/>
    <x v="1"/>
    <x v="2"/>
    <x v="1"/>
    <x v="0"/>
    <n v="7"/>
    <n v="11421"/>
    <n v="10"/>
    <x v="4"/>
    <n v="71952.3"/>
  </r>
  <r>
    <s v="ORD1344"/>
    <x v="220"/>
    <x v="3"/>
    <x v="5"/>
    <x v="6"/>
    <x v="2"/>
    <n v="4"/>
    <n v="32612"/>
    <n v="0"/>
    <x v="3"/>
    <n v="130448"/>
  </r>
  <r>
    <s v="ORD1345"/>
    <x v="213"/>
    <x v="0"/>
    <x v="4"/>
    <x v="2"/>
    <x v="0"/>
    <n v="1"/>
    <n v="26153"/>
    <n v="10"/>
    <x v="3"/>
    <n v="23537.7"/>
  </r>
  <r>
    <s v="ORD1346"/>
    <x v="25"/>
    <x v="1"/>
    <x v="3"/>
    <x v="4"/>
    <x v="1"/>
    <n v="1"/>
    <n v="5329"/>
    <n v="0"/>
    <x v="1"/>
    <n v="5329"/>
  </r>
  <r>
    <s v="ORD1347"/>
    <x v="221"/>
    <x v="1"/>
    <x v="2"/>
    <x v="9"/>
    <x v="1"/>
    <n v="10"/>
    <n v="23329"/>
    <n v="20"/>
    <x v="3"/>
    <n v="186632"/>
  </r>
  <r>
    <s v="ORD1348"/>
    <x v="103"/>
    <x v="0"/>
    <x v="5"/>
    <x v="5"/>
    <x v="1"/>
    <n v="8"/>
    <n v="14647"/>
    <n v="5"/>
    <x v="4"/>
    <n v="111317.2"/>
  </r>
  <r>
    <s v="ORD1349"/>
    <x v="222"/>
    <x v="0"/>
    <x v="5"/>
    <x v="0"/>
    <x v="1"/>
    <n v="10"/>
    <n v="46485"/>
    <n v="20"/>
    <x v="0"/>
    <n v="371880"/>
  </r>
  <r>
    <s v="ORD1350"/>
    <x v="223"/>
    <x v="0"/>
    <x v="2"/>
    <x v="8"/>
    <x v="2"/>
    <n v="3"/>
    <n v="39729"/>
    <n v="20"/>
    <x v="0"/>
    <n v="95349.6"/>
  </r>
  <r>
    <s v="ORD1351"/>
    <x v="86"/>
    <x v="1"/>
    <x v="3"/>
    <x v="9"/>
    <x v="1"/>
    <n v="6"/>
    <n v="29255"/>
    <n v="5"/>
    <x v="0"/>
    <n v="166753.5"/>
  </r>
  <r>
    <s v="ORD1352"/>
    <x v="224"/>
    <x v="0"/>
    <x v="3"/>
    <x v="4"/>
    <x v="1"/>
    <n v="2"/>
    <n v="29531"/>
    <n v="10"/>
    <x v="4"/>
    <n v="53155.8"/>
  </r>
  <r>
    <s v="ORD1353"/>
    <x v="225"/>
    <x v="0"/>
    <x v="6"/>
    <x v="7"/>
    <x v="1"/>
    <n v="4"/>
    <n v="38172"/>
    <n v="5"/>
    <x v="1"/>
    <n v="145053.6"/>
  </r>
  <r>
    <s v="ORD1354"/>
    <x v="174"/>
    <x v="1"/>
    <x v="3"/>
    <x v="3"/>
    <x v="0"/>
    <n v="3"/>
    <n v="23426"/>
    <n v="0"/>
    <x v="4"/>
    <n v="70278"/>
  </r>
  <r>
    <s v="ORD1355"/>
    <x v="210"/>
    <x v="1"/>
    <x v="2"/>
    <x v="7"/>
    <x v="1"/>
    <n v="8"/>
    <n v="36686"/>
    <n v="0"/>
    <x v="1"/>
    <n v="293488"/>
  </r>
  <r>
    <s v="ORD1356"/>
    <x v="143"/>
    <x v="3"/>
    <x v="7"/>
    <x v="1"/>
    <x v="2"/>
    <n v="2"/>
    <n v="46490"/>
    <n v="20"/>
    <x v="1"/>
    <n v="74384"/>
  </r>
  <r>
    <s v="ORD1357"/>
    <x v="42"/>
    <x v="2"/>
    <x v="2"/>
    <x v="3"/>
    <x v="0"/>
    <n v="10"/>
    <n v="16476"/>
    <n v="15"/>
    <x v="3"/>
    <n v="140046"/>
  </r>
  <r>
    <s v="ORD1358"/>
    <x v="94"/>
    <x v="1"/>
    <x v="2"/>
    <x v="4"/>
    <x v="2"/>
    <n v="6"/>
    <n v="12343"/>
    <n v="0"/>
    <x v="2"/>
    <n v="74058"/>
  </r>
  <r>
    <s v="ORD1359"/>
    <x v="176"/>
    <x v="2"/>
    <x v="4"/>
    <x v="4"/>
    <x v="0"/>
    <n v="1"/>
    <n v="44424"/>
    <n v="20"/>
    <x v="2"/>
    <n v="35539.199999999997"/>
  </r>
  <r>
    <s v="ORD1360"/>
    <x v="70"/>
    <x v="3"/>
    <x v="0"/>
    <x v="1"/>
    <x v="2"/>
    <n v="1"/>
    <n v="44883"/>
    <n v="15"/>
    <x v="3"/>
    <n v="38150.550000000003"/>
  </r>
  <r>
    <s v="ORD1361"/>
    <x v="188"/>
    <x v="3"/>
    <x v="7"/>
    <x v="8"/>
    <x v="2"/>
    <n v="6"/>
    <n v="6104"/>
    <n v="5"/>
    <x v="1"/>
    <n v="34792.800000000003"/>
  </r>
  <r>
    <s v="ORD1362"/>
    <x v="226"/>
    <x v="0"/>
    <x v="1"/>
    <x v="2"/>
    <x v="2"/>
    <n v="3"/>
    <n v="49455"/>
    <n v="15"/>
    <x v="1"/>
    <n v="126110.25"/>
  </r>
  <r>
    <s v="ORD1363"/>
    <x v="96"/>
    <x v="3"/>
    <x v="0"/>
    <x v="8"/>
    <x v="0"/>
    <n v="9"/>
    <n v="47655"/>
    <n v="10"/>
    <x v="3"/>
    <n v="386005.5"/>
  </r>
  <r>
    <s v="ORD1364"/>
    <x v="86"/>
    <x v="0"/>
    <x v="5"/>
    <x v="4"/>
    <x v="2"/>
    <n v="2"/>
    <n v="38630"/>
    <n v="20"/>
    <x v="0"/>
    <n v="61808"/>
  </r>
  <r>
    <s v="ORD1365"/>
    <x v="227"/>
    <x v="0"/>
    <x v="4"/>
    <x v="6"/>
    <x v="2"/>
    <n v="3"/>
    <n v="32891"/>
    <n v="20"/>
    <x v="0"/>
    <n v="78938.400000000009"/>
  </r>
  <r>
    <s v="ORD1366"/>
    <x v="228"/>
    <x v="1"/>
    <x v="5"/>
    <x v="4"/>
    <x v="0"/>
    <n v="8"/>
    <n v="8492"/>
    <n v="20"/>
    <x v="4"/>
    <n v="54348.800000000003"/>
  </r>
  <r>
    <s v="ORD1367"/>
    <x v="96"/>
    <x v="1"/>
    <x v="1"/>
    <x v="1"/>
    <x v="2"/>
    <n v="4"/>
    <n v="39808"/>
    <n v="0"/>
    <x v="3"/>
    <n v="159232"/>
  </r>
  <r>
    <s v="ORD1368"/>
    <x v="229"/>
    <x v="2"/>
    <x v="7"/>
    <x v="5"/>
    <x v="0"/>
    <n v="6"/>
    <n v="40064"/>
    <n v="10"/>
    <x v="3"/>
    <n v="216345.60000000001"/>
  </r>
  <r>
    <s v="ORD1369"/>
    <x v="230"/>
    <x v="0"/>
    <x v="2"/>
    <x v="5"/>
    <x v="1"/>
    <n v="9"/>
    <n v="31337"/>
    <n v="15"/>
    <x v="4"/>
    <n v="239728.05"/>
  </r>
  <r>
    <s v="ORD1370"/>
    <x v="62"/>
    <x v="0"/>
    <x v="7"/>
    <x v="9"/>
    <x v="2"/>
    <n v="6"/>
    <n v="22323"/>
    <n v="5"/>
    <x v="0"/>
    <n v="127241.1"/>
  </r>
  <r>
    <s v="ORD1371"/>
    <x v="227"/>
    <x v="2"/>
    <x v="4"/>
    <x v="7"/>
    <x v="0"/>
    <n v="8"/>
    <n v="37378"/>
    <n v="15"/>
    <x v="0"/>
    <n v="254170.4"/>
  </r>
  <r>
    <s v="ORD1372"/>
    <x v="99"/>
    <x v="0"/>
    <x v="7"/>
    <x v="2"/>
    <x v="1"/>
    <n v="4"/>
    <n v="7399"/>
    <n v="10"/>
    <x v="2"/>
    <n v="26636.400000000001"/>
  </r>
  <r>
    <s v="ORD1373"/>
    <x v="175"/>
    <x v="3"/>
    <x v="3"/>
    <x v="8"/>
    <x v="2"/>
    <n v="1"/>
    <n v="30177"/>
    <n v="15"/>
    <x v="2"/>
    <n v="25650.45"/>
  </r>
  <r>
    <s v="ORD1374"/>
    <x v="129"/>
    <x v="0"/>
    <x v="2"/>
    <x v="5"/>
    <x v="1"/>
    <n v="7"/>
    <n v="12545"/>
    <n v="10"/>
    <x v="2"/>
    <n v="79033.5"/>
  </r>
  <r>
    <s v="ORD1375"/>
    <x v="42"/>
    <x v="0"/>
    <x v="5"/>
    <x v="2"/>
    <x v="2"/>
    <n v="6"/>
    <n v="21187"/>
    <n v="0"/>
    <x v="1"/>
    <n v="127122"/>
  </r>
  <r>
    <s v="ORD1376"/>
    <x v="176"/>
    <x v="0"/>
    <x v="3"/>
    <x v="8"/>
    <x v="0"/>
    <n v="3"/>
    <n v="27594"/>
    <n v="10"/>
    <x v="4"/>
    <n v="74503.8"/>
  </r>
  <r>
    <s v="ORD1377"/>
    <x v="231"/>
    <x v="1"/>
    <x v="3"/>
    <x v="7"/>
    <x v="1"/>
    <n v="5"/>
    <n v="5561"/>
    <n v="10"/>
    <x v="0"/>
    <n v="25024.5"/>
  </r>
  <r>
    <s v="ORD1378"/>
    <x v="57"/>
    <x v="3"/>
    <x v="3"/>
    <x v="4"/>
    <x v="1"/>
    <n v="1"/>
    <n v="40207"/>
    <n v="10"/>
    <x v="1"/>
    <n v="36186.300000000003"/>
  </r>
  <r>
    <s v="ORD1379"/>
    <x v="4"/>
    <x v="0"/>
    <x v="1"/>
    <x v="1"/>
    <x v="1"/>
    <n v="8"/>
    <n v="8126"/>
    <n v="10"/>
    <x v="3"/>
    <n v="58507.199999999997"/>
  </r>
  <r>
    <s v="ORD1380"/>
    <x v="67"/>
    <x v="3"/>
    <x v="2"/>
    <x v="0"/>
    <x v="1"/>
    <n v="8"/>
    <n v="45925"/>
    <n v="15"/>
    <x v="4"/>
    <n v="312290"/>
  </r>
  <r>
    <s v="ORD1381"/>
    <x v="232"/>
    <x v="3"/>
    <x v="1"/>
    <x v="0"/>
    <x v="2"/>
    <n v="9"/>
    <n v="40086"/>
    <n v="20"/>
    <x v="1"/>
    <n v="288619.2"/>
  </r>
  <r>
    <s v="ORD1382"/>
    <x v="125"/>
    <x v="3"/>
    <x v="1"/>
    <x v="2"/>
    <x v="0"/>
    <n v="5"/>
    <n v="25832"/>
    <n v="0"/>
    <x v="1"/>
    <n v="129160"/>
  </r>
  <r>
    <s v="ORD1383"/>
    <x v="160"/>
    <x v="2"/>
    <x v="3"/>
    <x v="6"/>
    <x v="1"/>
    <n v="9"/>
    <n v="22457"/>
    <n v="5"/>
    <x v="3"/>
    <n v="192007.35"/>
  </r>
  <r>
    <s v="ORD1384"/>
    <x v="233"/>
    <x v="0"/>
    <x v="1"/>
    <x v="6"/>
    <x v="0"/>
    <n v="8"/>
    <n v="33394"/>
    <n v="15"/>
    <x v="1"/>
    <n v="227079.2"/>
  </r>
  <r>
    <s v="ORD1385"/>
    <x v="56"/>
    <x v="1"/>
    <x v="0"/>
    <x v="3"/>
    <x v="2"/>
    <n v="4"/>
    <n v="43270"/>
    <n v="15"/>
    <x v="1"/>
    <n v="147118"/>
  </r>
  <r>
    <s v="ORD1386"/>
    <x v="234"/>
    <x v="1"/>
    <x v="0"/>
    <x v="3"/>
    <x v="0"/>
    <n v="10"/>
    <n v="44264"/>
    <n v="15"/>
    <x v="2"/>
    <n v="376244"/>
  </r>
  <r>
    <s v="ORD1387"/>
    <x v="235"/>
    <x v="1"/>
    <x v="6"/>
    <x v="3"/>
    <x v="0"/>
    <n v="3"/>
    <n v="5029"/>
    <n v="10"/>
    <x v="3"/>
    <n v="13578.3"/>
  </r>
  <r>
    <s v="ORD1388"/>
    <x v="187"/>
    <x v="1"/>
    <x v="0"/>
    <x v="0"/>
    <x v="2"/>
    <n v="9"/>
    <n v="6933"/>
    <n v="5"/>
    <x v="3"/>
    <n v="59277.149999999987"/>
  </r>
  <r>
    <s v="ORD1389"/>
    <x v="118"/>
    <x v="0"/>
    <x v="0"/>
    <x v="4"/>
    <x v="1"/>
    <n v="6"/>
    <n v="15261"/>
    <n v="15"/>
    <x v="3"/>
    <n v="77831.099999999991"/>
  </r>
  <r>
    <s v="ORD1390"/>
    <x v="228"/>
    <x v="1"/>
    <x v="4"/>
    <x v="7"/>
    <x v="2"/>
    <n v="6"/>
    <n v="10104"/>
    <n v="15"/>
    <x v="4"/>
    <n v="51530.400000000001"/>
  </r>
  <r>
    <s v="ORD1391"/>
    <x v="236"/>
    <x v="3"/>
    <x v="1"/>
    <x v="2"/>
    <x v="1"/>
    <n v="8"/>
    <n v="39061"/>
    <n v="5"/>
    <x v="3"/>
    <n v="296863.59999999998"/>
  </r>
  <r>
    <s v="ORD1392"/>
    <x v="120"/>
    <x v="2"/>
    <x v="7"/>
    <x v="5"/>
    <x v="2"/>
    <n v="5"/>
    <n v="42689"/>
    <n v="20"/>
    <x v="0"/>
    <n v="170756"/>
  </r>
  <r>
    <s v="ORD1393"/>
    <x v="226"/>
    <x v="1"/>
    <x v="6"/>
    <x v="6"/>
    <x v="0"/>
    <n v="10"/>
    <n v="1012"/>
    <n v="20"/>
    <x v="4"/>
    <n v="8096"/>
  </r>
  <r>
    <s v="ORD1394"/>
    <x v="237"/>
    <x v="3"/>
    <x v="1"/>
    <x v="9"/>
    <x v="1"/>
    <n v="9"/>
    <n v="10615"/>
    <n v="0"/>
    <x v="4"/>
    <n v="95535"/>
  </r>
  <r>
    <s v="ORD1395"/>
    <x v="238"/>
    <x v="1"/>
    <x v="0"/>
    <x v="8"/>
    <x v="2"/>
    <n v="3"/>
    <n v="44311"/>
    <n v="5"/>
    <x v="0"/>
    <n v="126286.35"/>
  </r>
  <r>
    <s v="ORD1396"/>
    <x v="239"/>
    <x v="0"/>
    <x v="7"/>
    <x v="7"/>
    <x v="2"/>
    <n v="2"/>
    <n v="10779"/>
    <n v="5"/>
    <x v="3"/>
    <n v="20480.099999999999"/>
  </r>
  <r>
    <s v="ORD1397"/>
    <x v="42"/>
    <x v="3"/>
    <x v="3"/>
    <x v="1"/>
    <x v="2"/>
    <n v="9"/>
    <n v="30686"/>
    <n v="10"/>
    <x v="0"/>
    <n v="248556.6"/>
  </r>
  <r>
    <s v="ORD1398"/>
    <x v="240"/>
    <x v="0"/>
    <x v="2"/>
    <x v="7"/>
    <x v="1"/>
    <n v="3"/>
    <n v="35816"/>
    <n v="15"/>
    <x v="1"/>
    <n v="91330.8"/>
  </r>
  <r>
    <s v="ORD1399"/>
    <x v="130"/>
    <x v="1"/>
    <x v="0"/>
    <x v="2"/>
    <x v="0"/>
    <n v="8"/>
    <n v="20103"/>
    <n v="20"/>
    <x v="2"/>
    <n v="128659.2"/>
  </r>
  <r>
    <s v="ORD1400"/>
    <x v="120"/>
    <x v="3"/>
    <x v="3"/>
    <x v="4"/>
    <x v="2"/>
    <n v="5"/>
    <n v="26557"/>
    <n v="10"/>
    <x v="2"/>
    <n v="119506.5"/>
  </r>
  <r>
    <s v="ORD1401"/>
    <x v="34"/>
    <x v="3"/>
    <x v="3"/>
    <x v="3"/>
    <x v="2"/>
    <n v="5"/>
    <n v="41342"/>
    <n v="0"/>
    <x v="1"/>
    <n v="206710"/>
  </r>
  <r>
    <s v="ORD1402"/>
    <x v="241"/>
    <x v="3"/>
    <x v="0"/>
    <x v="5"/>
    <x v="0"/>
    <n v="9"/>
    <n v="38875"/>
    <n v="20"/>
    <x v="2"/>
    <n v="279900"/>
  </r>
  <r>
    <s v="ORD1403"/>
    <x v="242"/>
    <x v="1"/>
    <x v="0"/>
    <x v="9"/>
    <x v="0"/>
    <n v="6"/>
    <n v="30305"/>
    <n v="15"/>
    <x v="1"/>
    <n v="154555.5"/>
  </r>
  <r>
    <s v="ORD1404"/>
    <x v="41"/>
    <x v="2"/>
    <x v="4"/>
    <x v="0"/>
    <x v="0"/>
    <n v="8"/>
    <n v="13823"/>
    <n v="0"/>
    <x v="1"/>
    <n v="110584"/>
  </r>
  <r>
    <s v="ORD1405"/>
    <x v="69"/>
    <x v="2"/>
    <x v="0"/>
    <x v="4"/>
    <x v="0"/>
    <n v="1"/>
    <n v="14478"/>
    <n v="0"/>
    <x v="2"/>
    <n v="14478"/>
  </r>
  <r>
    <s v="ORD1406"/>
    <x v="243"/>
    <x v="0"/>
    <x v="0"/>
    <x v="7"/>
    <x v="2"/>
    <n v="9"/>
    <n v="45663"/>
    <n v="15"/>
    <x v="1"/>
    <n v="349321.95"/>
  </r>
  <r>
    <s v="ORD1407"/>
    <x v="225"/>
    <x v="2"/>
    <x v="5"/>
    <x v="0"/>
    <x v="2"/>
    <n v="7"/>
    <n v="21748"/>
    <n v="10"/>
    <x v="2"/>
    <n v="137012.4"/>
  </r>
  <r>
    <s v="ORD1408"/>
    <x v="244"/>
    <x v="1"/>
    <x v="5"/>
    <x v="8"/>
    <x v="1"/>
    <n v="3"/>
    <n v="20643"/>
    <n v="15"/>
    <x v="3"/>
    <n v="52639.65"/>
  </r>
  <r>
    <s v="ORD1409"/>
    <x v="245"/>
    <x v="3"/>
    <x v="0"/>
    <x v="3"/>
    <x v="2"/>
    <n v="1"/>
    <n v="38373"/>
    <n v="5"/>
    <x v="2"/>
    <n v="36454.35"/>
  </r>
  <r>
    <s v="ORD1410"/>
    <x v="42"/>
    <x v="3"/>
    <x v="4"/>
    <x v="4"/>
    <x v="2"/>
    <n v="10"/>
    <n v="45535"/>
    <n v="20"/>
    <x v="2"/>
    <n v="364280"/>
  </r>
  <r>
    <s v="ORD1411"/>
    <x v="18"/>
    <x v="1"/>
    <x v="1"/>
    <x v="9"/>
    <x v="0"/>
    <n v="6"/>
    <n v="20958"/>
    <n v="15"/>
    <x v="3"/>
    <n v="106885.8"/>
  </r>
  <r>
    <s v="ORD1412"/>
    <x v="140"/>
    <x v="3"/>
    <x v="6"/>
    <x v="4"/>
    <x v="1"/>
    <n v="10"/>
    <n v="29490"/>
    <n v="20"/>
    <x v="4"/>
    <n v="235920"/>
  </r>
  <r>
    <s v="ORD1413"/>
    <x v="119"/>
    <x v="2"/>
    <x v="6"/>
    <x v="3"/>
    <x v="0"/>
    <n v="4"/>
    <n v="48041"/>
    <n v="5"/>
    <x v="2"/>
    <n v="182555.8"/>
  </r>
  <r>
    <s v="ORD1414"/>
    <x v="246"/>
    <x v="0"/>
    <x v="1"/>
    <x v="2"/>
    <x v="2"/>
    <n v="6"/>
    <n v="23561"/>
    <n v="5"/>
    <x v="1"/>
    <n v="134297.70000000001"/>
  </r>
  <r>
    <s v="ORD1415"/>
    <x v="15"/>
    <x v="1"/>
    <x v="7"/>
    <x v="9"/>
    <x v="2"/>
    <n v="2"/>
    <n v="6851"/>
    <n v="5"/>
    <x v="0"/>
    <n v="13016.9"/>
  </r>
  <r>
    <s v="ORD1416"/>
    <x v="245"/>
    <x v="3"/>
    <x v="7"/>
    <x v="9"/>
    <x v="2"/>
    <n v="9"/>
    <n v="39189"/>
    <n v="15"/>
    <x v="3"/>
    <n v="299795.84999999998"/>
  </r>
  <r>
    <s v="ORD1417"/>
    <x v="12"/>
    <x v="1"/>
    <x v="5"/>
    <x v="3"/>
    <x v="1"/>
    <n v="7"/>
    <n v="1532"/>
    <n v="10"/>
    <x v="2"/>
    <n v="9651.6"/>
  </r>
  <r>
    <s v="ORD1418"/>
    <x v="247"/>
    <x v="2"/>
    <x v="2"/>
    <x v="4"/>
    <x v="0"/>
    <n v="4"/>
    <n v="41074"/>
    <n v="20"/>
    <x v="3"/>
    <n v="131436.79999999999"/>
  </r>
  <r>
    <s v="ORD1419"/>
    <x v="43"/>
    <x v="3"/>
    <x v="5"/>
    <x v="6"/>
    <x v="1"/>
    <n v="9"/>
    <n v="34451"/>
    <n v="15"/>
    <x v="3"/>
    <n v="263550.15000000002"/>
  </r>
  <r>
    <s v="ORD1420"/>
    <x v="126"/>
    <x v="3"/>
    <x v="4"/>
    <x v="2"/>
    <x v="2"/>
    <n v="8"/>
    <n v="27489"/>
    <n v="0"/>
    <x v="1"/>
    <n v="219912"/>
  </r>
  <r>
    <s v="ORD1421"/>
    <x v="248"/>
    <x v="3"/>
    <x v="6"/>
    <x v="8"/>
    <x v="2"/>
    <n v="9"/>
    <n v="9359"/>
    <n v="10"/>
    <x v="1"/>
    <n v="75807.900000000009"/>
  </r>
  <r>
    <s v="ORD1422"/>
    <x v="249"/>
    <x v="3"/>
    <x v="2"/>
    <x v="1"/>
    <x v="0"/>
    <n v="3"/>
    <n v="20279"/>
    <n v="20"/>
    <x v="2"/>
    <n v="48669.600000000013"/>
  </r>
  <r>
    <s v="ORD1423"/>
    <x v="250"/>
    <x v="1"/>
    <x v="4"/>
    <x v="2"/>
    <x v="0"/>
    <n v="10"/>
    <n v="5090"/>
    <n v="10"/>
    <x v="2"/>
    <n v="45810"/>
  </r>
  <r>
    <s v="ORD1424"/>
    <x v="100"/>
    <x v="2"/>
    <x v="3"/>
    <x v="1"/>
    <x v="0"/>
    <n v="5"/>
    <n v="25197"/>
    <n v="15"/>
    <x v="3"/>
    <n v="107087.25"/>
  </r>
  <r>
    <s v="ORD1425"/>
    <x v="134"/>
    <x v="2"/>
    <x v="7"/>
    <x v="8"/>
    <x v="0"/>
    <n v="6"/>
    <n v="36971"/>
    <n v="20"/>
    <x v="3"/>
    <n v="177460.8"/>
  </r>
  <r>
    <s v="ORD1426"/>
    <x v="196"/>
    <x v="0"/>
    <x v="7"/>
    <x v="9"/>
    <x v="2"/>
    <n v="7"/>
    <n v="4481"/>
    <n v="15"/>
    <x v="3"/>
    <n v="26661.95"/>
  </r>
  <r>
    <s v="ORD1427"/>
    <x v="49"/>
    <x v="1"/>
    <x v="5"/>
    <x v="7"/>
    <x v="1"/>
    <n v="6"/>
    <n v="1055"/>
    <n v="5"/>
    <x v="1"/>
    <n v="6013.5"/>
  </r>
  <r>
    <s v="ORD1428"/>
    <x v="251"/>
    <x v="2"/>
    <x v="6"/>
    <x v="3"/>
    <x v="0"/>
    <n v="2"/>
    <n v="47095"/>
    <n v="0"/>
    <x v="3"/>
    <n v="94190"/>
  </r>
  <r>
    <s v="ORD1429"/>
    <x v="252"/>
    <x v="1"/>
    <x v="0"/>
    <x v="9"/>
    <x v="0"/>
    <n v="2"/>
    <n v="37702"/>
    <n v="0"/>
    <x v="4"/>
    <n v="75404"/>
  </r>
  <r>
    <s v="ORD1430"/>
    <x v="21"/>
    <x v="1"/>
    <x v="6"/>
    <x v="9"/>
    <x v="0"/>
    <n v="9"/>
    <n v="24543"/>
    <n v="5"/>
    <x v="2"/>
    <n v="209842.65"/>
  </r>
  <r>
    <s v="ORD1431"/>
    <x v="228"/>
    <x v="2"/>
    <x v="4"/>
    <x v="3"/>
    <x v="2"/>
    <n v="2"/>
    <n v="8189"/>
    <n v="10"/>
    <x v="2"/>
    <n v="14740.2"/>
  </r>
  <r>
    <s v="ORD1432"/>
    <x v="1"/>
    <x v="0"/>
    <x v="4"/>
    <x v="0"/>
    <x v="2"/>
    <n v="1"/>
    <n v="19494"/>
    <n v="10"/>
    <x v="0"/>
    <n v="17544.599999999999"/>
  </r>
  <r>
    <s v="ORD1433"/>
    <x v="195"/>
    <x v="0"/>
    <x v="4"/>
    <x v="3"/>
    <x v="0"/>
    <n v="3"/>
    <n v="3043"/>
    <n v="15"/>
    <x v="4"/>
    <n v="7759.65"/>
  </r>
  <r>
    <s v="ORD1434"/>
    <x v="156"/>
    <x v="0"/>
    <x v="3"/>
    <x v="5"/>
    <x v="2"/>
    <n v="3"/>
    <n v="16416"/>
    <n v="0"/>
    <x v="3"/>
    <n v="49248"/>
  </r>
  <r>
    <s v="ORD1435"/>
    <x v="253"/>
    <x v="3"/>
    <x v="0"/>
    <x v="7"/>
    <x v="1"/>
    <n v="1"/>
    <n v="29292"/>
    <n v="10"/>
    <x v="1"/>
    <n v="26362.799999999999"/>
  </r>
  <r>
    <s v="ORD1436"/>
    <x v="9"/>
    <x v="2"/>
    <x v="0"/>
    <x v="8"/>
    <x v="2"/>
    <n v="4"/>
    <n v="47020"/>
    <n v="15"/>
    <x v="0"/>
    <n v="159868"/>
  </r>
  <r>
    <s v="ORD1437"/>
    <x v="254"/>
    <x v="3"/>
    <x v="1"/>
    <x v="4"/>
    <x v="2"/>
    <n v="2"/>
    <n v="39676"/>
    <n v="5"/>
    <x v="1"/>
    <n v="75384.399999999994"/>
  </r>
  <r>
    <s v="ORD1438"/>
    <x v="67"/>
    <x v="3"/>
    <x v="6"/>
    <x v="4"/>
    <x v="0"/>
    <n v="8"/>
    <n v="26838"/>
    <n v="15"/>
    <x v="1"/>
    <n v="182498.4"/>
  </r>
  <r>
    <s v="ORD1439"/>
    <x v="103"/>
    <x v="3"/>
    <x v="3"/>
    <x v="1"/>
    <x v="1"/>
    <n v="4"/>
    <n v="41974"/>
    <n v="5"/>
    <x v="3"/>
    <n v="159501.20000000001"/>
  </r>
  <r>
    <s v="ORD1440"/>
    <x v="49"/>
    <x v="1"/>
    <x v="4"/>
    <x v="6"/>
    <x v="2"/>
    <n v="2"/>
    <n v="21848"/>
    <n v="0"/>
    <x v="3"/>
    <n v="43696"/>
  </r>
  <r>
    <s v="ORD1441"/>
    <x v="255"/>
    <x v="1"/>
    <x v="2"/>
    <x v="2"/>
    <x v="0"/>
    <n v="1"/>
    <n v="47646"/>
    <n v="0"/>
    <x v="3"/>
    <n v="47646"/>
  </r>
  <r>
    <s v="ORD1442"/>
    <x v="183"/>
    <x v="2"/>
    <x v="6"/>
    <x v="5"/>
    <x v="1"/>
    <n v="10"/>
    <n v="26086"/>
    <n v="10"/>
    <x v="4"/>
    <n v="234774"/>
  </r>
  <r>
    <s v="ORD1443"/>
    <x v="150"/>
    <x v="2"/>
    <x v="0"/>
    <x v="0"/>
    <x v="0"/>
    <n v="7"/>
    <n v="27609"/>
    <n v="15"/>
    <x v="4"/>
    <n v="164273.54999999999"/>
  </r>
  <r>
    <s v="ORD1444"/>
    <x v="256"/>
    <x v="1"/>
    <x v="7"/>
    <x v="6"/>
    <x v="0"/>
    <n v="8"/>
    <n v="26006"/>
    <n v="0"/>
    <x v="4"/>
    <n v="208048"/>
  </r>
  <r>
    <s v="ORD1445"/>
    <x v="142"/>
    <x v="1"/>
    <x v="7"/>
    <x v="7"/>
    <x v="2"/>
    <n v="9"/>
    <n v="29520"/>
    <n v="20"/>
    <x v="0"/>
    <n v="212544"/>
  </r>
  <r>
    <s v="ORD1446"/>
    <x v="65"/>
    <x v="3"/>
    <x v="3"/>
    <x v="2"/>
    <x v="2"/>
    <n v="10"/>
    <n v="36724"/>
    <n v="10"/>
    <x v="1"/>
    <n v="330516"/>
  </r>
  <r>
    <s v="ORD1447"/>
    <x v="219"/>
    <x v="0"/>
    <x v="5"/>
    <x v="6"/>
    <x v="1"/>
    <n v="10"/>
    <n v="14842"/>
    <n v="20"/>
    <x v="3"/>
    <n v="118736"/>
  </r>
  <r>
    <s v="ORD1448"/>
    <x v="39"/>
    <x v="0"/>
    <x v="0"/>
    <x v="2"/>
    <x v="1"/>
    <n v="5"/>
    <n v="44416"/>
    <n v="15"/>
    <x v="3"/>
    <n v="188768"/>
  </r>
  <r>
    <s v="ORD1449"/>
    <x v="69"/>
    <x v="0"/>
    <x v="6"/>
    <x v="6"/>
    <x v="1"/>
    <n v="1"/>
    <n v="12364"/>
    <n v="20"/>
    <x v="3"/>
    <n v="9891.2000000000007"/>
  </r>
  <r>
    <s v="ORD1450"/>
    <x v="72"/>
    <x v="0"/>
    <x v="5"/>
    <x v="9"/>
    <x v="0"/>
    <n v="6"/>
    <n v="32121"/>
    <n v="15"/>
    <x v="4"/>
    <n v="163817.1"/>
  </r>
  <r>
    <s v="ORD1451"/>
    <x v="193"/>
    <x v="0"/>
    <x v="0"/>
    <x v="5"/>
    <x v="2"/>
    <n v="4"/>
    <n v="10114"/>
    <n v="10"/>
    <x v="4"/>
    <n v="36410.400000000001"/>
  </r>
  <r>
    <s v="ORD1452"/>
    <x v="236"/>
    <x v="3"/>
    <x v="1"/>
    <x v="0"/>
    <x v="2"/>
    <n v="10"/>
    <n v="13335"/>
    <n v="15"/>
    <x v="4"/>
    <n v="113347.5"/>
  </r>
  <r>
    <s v="ORD1453"/>
    <x v="7"/>
    <x v="2"/>
    <x v="2"/>
    <x v="9"/>
    <x v="0"/>
    <n v="2"/>
    <n v="37400"/>
    <n v="0"/>
    <x v="3"/>
    <n v="74800"/>
  </r>
  <r>
    <s v="ORD1454"/>
    <x v="68"/>
    <x v="1"/>
    <x v="0"/>
    <x v="3"/>
    <x v="0"/>
    <n v="1"/>
    <n v="26204"/>
    <n v="10"/>
    <x v="2"/>
    <n v="23583.599999999999"/>
  </r>
  <r>
    <s v="ORD1455"/>
    <x v="257"/>
    <x v="3"/>
    <x v="7"/>
    <x v="4"/>
    <x v="1"/>
    <n v="4"/>
    <n v="24611"/>
    <n v="20"/>
    <x v="1"/>
    <n v="78755.200000000012"/>
  </r>
  <r>
    <s v="ORD1456"/>
    <x v="180"/>
    <x v="0"/>
    <x v="1"/>
    <x v="2"/>
    <x v="2"/>
    <n v="8"/>
    <n v="28343"/>
    <n v="20"/>
    <x v="4"/>
    <n v="181395.20000000001"/>
  </r>
  <r>
    <s v="ORD1457"/>
    <x v="220"/>
    <x v="1"/>
    <x v="4"/>
    <x v="7"/>
    <x v="0"/>
    <n v="2"/>
    <n v="11110"/>
    <n v="0"/>
    <x v="1"/>
    <n v="22220"/>
  </r>
  <r>
    <s v="ORD1458"/>
    <x v="34"/>
    <x v="3"/>
    <x v="6"/>
    <x v="6"/>
    <x v="0"/>
    <n v="8"/>
    <n v="19905"/>
    <n v="10"/>
    <x v="3"/>
    <n v="143316"/>
  </r>
  <r>
    <s v="ORD1459"/>
    <x v="173"/>
    <x v="0"/>
    <x v="5"/>
    <x v="5"/>
    <x v="1"/>
    <n v="1"/>
    <n v="44913"/>
    <n v="5"/>
    <x v="4"/>
    <n v="42667.35"/>
  </r>
  <r>
    <s v="ORD1460"/>
    <x v="66"/>
    <x v="3"/>
    <x v="1"/>
    <x v="6"/>
    <x v="1"/>
    <n v="6"/>
    <n v="9227"/>
    <n v="20"/>
    <x v="0"/>
    <n v="44289.600000000013"/>
  </r>
  <r>
    <s v="ORD1461"/>
    <x v="258"/>
    <x v="1"/>
    <x v="7"/>
    <x v="5"/>
    <x v="1"/>
    <n v="9"/>
    <n v="9800"/>
    <n v="0"/>
    <x v="4"/>
    <n v="88200"/>
  </r>
  <r>
    <s v="ORD1462"/>
    <x v="259"/>
    <x v="2"/>
    <x v="4"/>
    <x v="5"/>
    <x v="1"/>
    <n v="7"/>
    <n v="1760"/>
    <n v="5"/>
    <x v="1"/>
    <n v="11704"/>
  </r>
  <r>
    <s v="ORD1463"/>
    <x v="2"/>
    <x v="0"/>
    <x v="2"/>
    <x v="8"/>
    <x v="2"/>
    <n v="6"/>
    <n v="5701"/>
    <n v="10"/>
    <x v="0"/>
    <n v="30785.4"/>
  </r>
  <r>
    <s v="ORD1464"/>
    <x v="128"/>
    <x v="1"/>
    <x v="4"/>
    <x v="4"/>
    <x v="2"/>
    <n v="1"/>
    <n v="43492"/>
    <n v="15"/>
    <x v="3"/>
    <n v="36968.199999999997"/>
  </r>
  <r>
    <s v="ORD1465"/>
    <x v="248"/>
    <x v="1"/>
    <x v="1"/>
    <x v="9"/>
    <x v="1"/>
    <n v="10"/>
    <n v="2029"/>
    <n v="5"/>
    <x v="3"/>
    <n v="19275.5"/>
  </r>
  <r>
    <s v="ORD1466"/>
    <x v="184"/>
    <x v="2"/>
    <x v="6"/>
    <x v="8"/>
    <x v="2"/>
    <n v="5"/>
    <n v="10436"/>
    <n v="10"/>
    <x v="1"/>
    <n v="46962"/>
  </r>
  <r>
    <s v="ORD1467"/>
    <x v="174"/>
    <x v="3"/>
    <x v="2"/>
    <x v="8"/>
    <x v="2"/>
    <n v="9"/>
    <n v="48273"/>
    <n v="5"/>
    <x v="3"/>
    <n v="412734.15"/>
  </r>
  <r>
    <s v="ORD1468"/>
    <x v="193"/>
    <x v="2"/>
    <x v="0"/>
    <x v="0"/>
    <x v="0"/>
    <n v="1"/>
    <n v="32896"/>
    <n v="0"/>
    <x v="4"/>
    <n v="32896"/>
  </r>
  <r>
    <s v="ORD1469"/>
    <x v="71"/>
    <x v="2"/>
    <x v="6"/>
    <x v="0"/>
    <x v="2"/>
    <n v="2"/>
    <n v="44117"/>
    <n v="10"/>
    <x v="0"/>
    <n v="79410.600000000006"/>
  </r>
  <r>
    <s v="ORD1470"/>
    <x v="31"/>
    <x v="3"/>
    <x v="4"/>
    <x v="8"/>
    <x v="2"/>
    <n v="5"/>
    <n v="29621"/>
    <n v="10"/>
    <x v="3"/>
    <n v="133294.5"/>
  </r>
  <r>
    <s v="ORD1471"/>
    <x v="24"/>
    <x v="3"/>
    <x v="7"/>
    <x v="7"/>
    <x v="1"/>
    <n v="2"/>
    <n v="9898"/>
    <n v="15"/>
    <x v="3"/>
    <n v="16826.599999999999"/>
  </r>
  <r>
    <s v="ORD1472"/>
    <x v="192"/>
    <x v="3"/>
    <x v="6"/>
    <x v="2"/>
    <x v="1"/>
    <n v="4"/>
    <n v="6548"/>
    <n v="10"/>
    <x v="1"/>
    <n v="23572.799999999999"/>
  </r>
  <r>
    <s v="ORD1473"/>
    <x v="116"/>
    <x v="1"/>
    <x v="2"/>
    <x v="4"/>
    <x v="1"/>
    <n v="9"/>
    <n v="9992"/>
    <n v="0"/>
    <x v="2"/>
    <n v="89928"/>
  </r>
  <r>
    <s v="ORD1474"/>
    <x v="260"/>
    <x v="1"/>
    <x v="4"/>
    <x v="2"/>
    <x v="0"/>
    <n v="2"/>
    <n v="43090"/>
    <n v="10"/>
    <x v="0"/>
    <n v="77562"/>
  </r>
  <r>
    <s v="ORD1475"/>
    <x v="261"/>
    <x v="0"/>
    <x v="2"/>
    <x v="0"/>
    <x v="0"/>
    <n v="2"/>
    <n v="28253"/>
    <n v="10"/>
    <x v="2"/>
    <n v="50855.4"/>
  </r>
  <r>
    <s v="ORD1476"/>
    <x v="262"/>
    <x v="0"/>
    <x v="0"/>
    <x v="8"/>
    <x v="1"/>
    <n v="4"/>
    <n v="30886"/>
    <n v="20"/>
    <x v="3"/>
    <n v="98835.200000000012"/>
  </r>
  <r>
    <s v="ORD1477"/>
    <x v="157"/>
    <x v="2"/>
    <x v="5"/>
    <x v="5"/>
    <x v="0"/>
    <n v="9"/>
    <n v="46573"/>
    <n v="0"/>
    <x v="0"/>
    <n v="419157"/>
  </r>
  <r>
    <s v="ORD1478"/>
    <x v="44"/>
    <x v="2"/>
    <x v="3"/>
    <x v="3"/>
    <x v="0"/>
    <n v="7"/>
    <n v="40611"/>
    <n v="20"/>
    <x v="3"/>
    <n v="227421.6"/>
  </r>
  <r>
    <s v="ORD1479"/>
    <x v="263"/>
    <x v="0"/>
    <x v="3"/>
    <x v="1"/>
    <x v="2"/>
    <n v="4"/>
    <n v="28898"/>
    <n v="5"/>
    <x v="2"/>
    <n v="109812.4"/>
  </r>
  <r>
    <s v="ORD1480"/>
    <x v="264"/>
    <x v="2"/>
    <x v="7"/>
    <x v="4"/>
    <x v="2"/>
    <n v="4"/>
    <n v="41845"/>
    <n v="5"/>
    <x v="4"/>
    <n v="159011"/>
  </r>
  <r>
    <s v="ORD1481"/>
    <x v="60"/>
    <x v="3"/>
    <x v="2"/>
    <x v="4"/>
    <x v="2"/>
    <n v="9"/>
    <n v="12783"/>
    <n v="0"/>
    <x v="2"/>
    <n v="115047"/>
  </r>
  <r>
    <s v="ORD1482"/>
    <x v="5"/>
    <x v="1"/>
    <x v="4"/>
    <x v="2"/>
    <x v="1"/>
    <n v="4"/>
    <n v="30779"/>
    <n v="20"/>
    <x v="4"/>
    <n v="98492.800000000003"/>
  </r>
  <r>
    <s v="ORD1483"/>
    <x v="2"/>
    <x v="0"/>
    <x v="4"/>
    <x v="6"/>
    <x v="1"/>
    <n v="10"/>
    <n v="34385"/>
    <n v="5"/>
    <x v="0"/>
    <n v="326657.5"/>
  </r>
  <r>
    <s v="ORD1484"/>
    <x v="151"/>
    <x v="1"/>
    <x v="1"/>
    <x v="2"/>
    <x v="1"/>
    <n v="3"/>
    <n v="28795"/>
    <n v="20"/>
    <x v="4"/>
    <n v="69108"/>
  </r>
  <r>
    <s v="ORD1485"/>
    <x v="55"/>
    <x v="0"/>
    <x v="4"/>
    <x v="6"/>
    <x v="0"/>
    <n v="9"/>
    <n v="37179"/>
    <n v="10"/>
    <x v="3"/>
    <n v="301149.90000000002"/>
  </r>
  <r>
    <s v="ORD1486"/>
    <x v="104"/>
    <x v="1"/>
    <x v="6"/>
    <x v="1"/>
    <x v="2"/>
    <n v="9"/>
    <n v="30494"/>
    <n v="10"/>
    <x v="2"/>
    <n v="247001.4"/>
  </r>
  <r>
    <s v="ORD1487"/>
    <x v="265"/>
    <x v="0"/>
    <x v="5"/>
    <x v="3"/>
    <x v="2"/>
    <n v="7"/>
    <n v="26212"/>
    <n v="10"/>
    <x v="0"/>
    <n v="165135.6"/>
  </r>
  <r>
    <s v="ORD1488"/>
    <x v="29"/>
    <x v="1"/>
    <x v="7"/>
    <x v="6"/>
    <x v="1"/>
    <n v="2"/>
    <n v="24285"/>
    <n v="10"/>
    <x v="3"/>
    <n v="43713"/>
  </r>
  <r>
    <s v="ORD1489"/>
    <x v="57"/>
    <x v="3"/>
    <x v="6"/>
    <x v="9"/>
    <x v="1"/>
    <n v="10"/>
    <n v="15794"/>
    <n v="10"/>
    <x v="3"/>
    <n v="142146"/>
  </r>
  <r>
    <s v="ORD1490"/>
    <x v="29"/>
    <x v="0"/>
    <x v="6"/>
    <x v="7"/>
    <x v="1"/>
    <n v="6"/>
    <n v="13176"/>
    <n v="0"/>
    <x v="0"/>
    <n v="79056"/>
  </r>
  <r>
    <s v="ORD1491"/>
    <x v="263"/>
    <x v="0"/>
    <x v="5"/>
    <x v="5"/>
    <x v="1"/>
    <n v="8"/>
    <n v="28837"/>
    <n v="20"/>
    <x v="3"/>
    <n v="184556.79999999999"/>
  </r>
  <r>
    <s v="ORD1492"/>
    <x v="123"/>
    <x v="0"/>
    <x v="1"/>
    <x v="5"/>
    <x v="1"/>
    <n v="7"/>
    <n v="40621"/>
    <n v="20"/>
    <x v="2"/>
    <n v="227477.6"/>
  </r>
  <r>
    <s v="ORD1493"/>
    <x v="106"/>
    <x v="3"/>
    <x v="4"/>
    <x v="6"/>
    <x v="1"/>
    <n v="2"/>
    <n v="1486"/>
    <n v="10"/>
    <x v="4"/>
    <n v="2674.8"/>
  </r>
  <r>
    <s v="ORD1494"/>
    <x v="104"/>
    <x v="1"/>
    <x v="1"/>
    <x v="2"/>
    <x v="1"/>
    <n v="3"/>
    <n v="38875"/>
    <n v="5"/>
    <x v="2"/>
    <n v="110793.75"/>
  </r>
  <r>
    <s v="ORD1495"/>
    <x v="266"/>
    <x v="0"/>
    <x v="4"/>
    <x v="4"/>
    <x v="2"/>
    <n v="3"/>
    <n v="33647"/>
    <n v="0"/>
    <x v="0"/>
    <n v="100941"/>
  </r>
  <r>
    <s v="ORD1496"/>
    <x v="45"/>
    <x v="1"/>
    <x v="2"/>
    <x v="2"/>
    <x v="0"/>
    <n v="9"/>
    <n v="48901"/>
    <n v="5"/>
    <x v="1"/>
    <n v="418103.55"/>
  </r>
  <r>
    <s v="ORD1497"/>
    <x v="171"/>
    <x v="3"/>
    <x v="2"/>
    <x v="8"/>
    <x v="0"/>
    <n v="7"/>
    <n v="16515"/>
    <n v="20"/>
    <x v="3"/>
    <n v="92484"/>
  </r>
  <r>
    <s v="ORD1498"/>
    <x v="267"/>
    <x v="2"/>
    <x v="6"/>
    <x v="8"/>
    <x v="2"/>
    <n v="9"/>
    <n v="47670"/>
    <n v="10"/>
    <x v="2"/>
    <n v="386127"/>
  </r>
  <r>
    <s v="ORD1499"/>
    <x v="240"/>
    <x v="0"/>
    <x v="6"/>
    <x v="5"/>
    <x v="2"/>
    <n v="6"/>
    <n v="33881"/>
    <n v="10"/>
    <x v="2"/>
    <n v="182957.4"/>
  </r>
  <r>
    <s v="ORD1500"/>
    <x v="224"/>
    <x v="3"/>
    <x v="0"/>
    <x v="5"/>
    <x v="0"/>
    <n v="3"/>
    <n v="18645"/>
    <n v="15"/>
    <x v="2"/>
    <n v="47544.75"/>
  </r>
  <r>
    <s v="ORD1501"/>
    <x v="128"/>
    <x v="1"/>
    <x v="5"/>
    <x v="5"/>
    <x v="1"/>
    <n v="9"/>
    <n v="27924"/>
    <n v="15"/>
    <x v="2"/>
    <n v="213618.6"/>
  </r>
  <r>
    <s v="ORD1502"/>
    <x v="268"/>
    <x v="0"/>
    <x v="3"/>
    <x v="4"/>
    <x v="0"/>
    <n v="10"/>
    <n v="36793"/>
    <n v="10"/>
    <x v="4"/>
    <n v="331137"/>
  </r>
  <r>
    <s v="ORD1503"/>
    <x v="42"/>
    <x v="1"/>
    <x v="2"/>
    <x v="4"/>
    <x v="2"/>
    <n v="8"/>
    <n v="38771"/>
    <n v="5"/>
    <x v="3"/>
    <n v="294659.59999999998"/>
  </r>
  <r>
    <s v="ORD1504"/>
    <x v="260"/>
    <x v="2"/>
    <x v="5"/>
    <x v="5"/>
    <x v="0"/>
    <n v="6"/>
    <n v="25049"/>
    <n v="0"/>
    <x v="1"/>
    <n v="150294"/>
  </r>
  <r>
    <s v="ORD1505"/>
    <x v="192"/>
    <x v="0"/>
    <x v="6"/>
    <x v="4"/>
    <x v="1"/>
    <n v="6"/>
    <n v="3192"/>
    <n v="5"/>
    <x v="3"/>
    <n v="18194.400000000001"/>
  </r>
  <r>
    <s v="ORD1506"/>
    <x v="113"/>
    <x v="0"/>
    <x v="1"/>
    <x v="3"/>
    <x v="2"/>
    <n v="9"/>
    <n v="3481"/>
    <n v="5"/>
    <x v="3"/>
    <n v="29762.55"/>
  </r>
  <r>
    <s v="ORD1507"/>
    <x v="124"/>
    <x v="1"/>
    <x v="6"/>
    <x v="6"/>
    <x v="2"/>
    <n v="6"/>
    <n v="38234"/>
    <n v="20"/>
    <x v="0"/>
    <n v="183523.20000000001"/>
  </r>
  <r>
    <s v="ORD1508"/>
    <x v="40"/>
    <x v="0"/>
    <x v="1"/>
    <x v="1"/>
    <x v="0"/>
    <n v="6"/>
    <n v="32671"/>
    <n v="5"/>
    <x v="2"/>
    <n v="186224.7"/>
  </r>
  <r>
    <s v="ORD1509"/>
    <x v="210"/>
    <x v="3"/>
    <x v="4"/>
    <x v="2"/>
    <x v="2"/>
    <n v="7"/>
    <n v="47195"/>
    <n v="5"/>
    <x v="2"/>
    <n v="313846.75"/>
  </r>
  <r>
    <s v="ORD1510"/>
    <x v="269"/>
    <x v="3"/>
    <x v="3"/>
    <x v="3"/>
    <x v="0"/>
    <n v="7"/>
    <n v="25155"/>
    <n v="20"/>
    <x v="4"/>
    <n v="140868"/>
  </r>
  <r>
    <s v="ORD1511"/>
    <x v="155"/>
    <x v="2"/>
    <x v="4"/>
    <x v="2"/>
    <x v="0"/>
    <n v="6"/>
    <n v="8416"/>
    <n v="20"/>
    <x v="1"/>
    <n v="40396.800000000003"/>
  </r>
  <r>
    <s v="ORD1512"/>
    <x v="270"/>
    <x v="3"/>
    <x v="6"/>
    <x v="9"/>
    <x v="2"/>
    <n v="10"/>
    <n v="39028"/>
    <n v="20"/>
    <x v="1"/>
    <n v="312224"/>
  </r>
  <r>
    <s v="ORD1513"/>
    <x v="240"/>
    <x v="2"/>
    <x v="0"/>
    <x v="5"/>
    <x v="2"/>
    <n v="4"/>
    <n v="32557"/>
    <n v="20"/>
    <x v="0"/>
    <n v="104182.39999999999"/>
  </r>
  <r>
    <s v="ORD1514"/>
    <x v="115"/>
    <x v="1"/>
    <x v="6"/>
    <x v="5"/>
    <x v="0"/>
    <n v="10"/>
    <n v="46252"/>
    <n v="20"/>
    <x v="0"/>
    <n v="370016"/>
  </r>
  <r>
    <s v="ORD1515"/>
    <x v="54"/>
    <x v="1"/>
    <x v="2"/>
    <x v="9"/>
    <x v="2"/>
    <n v="9"/>
    <n v="6247"/>
    <n v="0"/>
    <x v="0"/>
    <n v="56223"/>
  </r>
  <r>
    <s v="ORD1516"/>
    <x v="181"/>
    <x v="2"/>
    <x v="6"/>
    <x v="7"/>
    <x v="2"/>
    <n v="4"/>
    <n v="10311"/>
    <n v="15"/>
    <x v="2"/>
    <n v="35057.4"/>
  </r>
  <r>
    <s v="ORD1517"/>
    <x v="271"/>
    <x v="3"/>
    <x v="2"/>
    <x v="8"/>
    <x v="1"/>
    <n v="7"/>
    <n v="48853"/>
    <n v="15"/>
    <x v="2"/>
    <n v="290675.34999999998"/>
  </r>
  <r>
    <s v="ORD1518"/>
    <x v="43"/>
    <x v="3"/>
    <x v="4"/>
    <x v="3"/>
    <x v="2"/>
    <n v="9"/>
    <n v="48926"/>
    <n v="0"/>
    <x v="4"/>
    <n v="440334"/>
  </r>
  <r>
    <s v="ORD1519"/>
    <x v="167"/>
    <x v="2"/>
    <x v="0"/>
    <x v="2"/>
    <x v="0"/>
    <n v="5"/>
    <n v="35498"/>
    <n v="0"/>
    <x v="1"/>
    <n v="177490"/>
  </r>
  <r>
    <s v="ORD1520"/>
    <x v="269"/>
    <x v="2"/>
    <x v="5"/>
    <x v="8"/>
    <x v="0"/>
    <n v="6"/>
    <n v="19312"/>
    <n v="5"/>
    <x v="1"/>
    <n v="110078.39999999999"/>
  </r>
  <r>
    <s v="ORD1521"/>
    <x v="137"/>
    <x v="1"/>
    <x v="4"/>
    <x v="5"/>
    <x v="2"/>
    <n v="8"/>
    <n v="31470"/>
    <n v="0"/>
    <x v="0"/>
    <n v="251760"/>
  </r>
  <r>
    <s v="ORD1522"/>
    <x v="272"/>
    <x v="2"/>
    <x v="4"/>
    <x v="5"/>
    <x v="1"/>
    <n v="8"/>
    <n v="34878"/>
    <n v="15"/>
    <x v="3"/>
    <n v="237170.4"/>
  </r>
  <r>
    <s v="ORD1523"/>
    <x v="99"/>
    <x v="3"/>
    <x v="6"/>
    <x v="2"/>
    <x v="2"/>
    <n v="7"/>
    <n v="6127"/>
    <n v="10"/>
    <x v="1"/>
    <n v="38600.1"/>
  </r>
  <r>
    <s v="ORD1524"/>
    <x v="244"/>
    <x v="2"/>
    <x v="7"/>
    <x v="7"/>
    <x v="2"/>
    <n v="1"/>
    <n v="35298"/>
    <n v="10"/>
    <x v="4"/>
    <n v="31768.2"/>
  </r>
  <r>
    <s v="ORD1525"/>
    <x v="70"/>
    <x v="2"/>
    <x v="1"/>
    <x v="2"/>
    <x v="1"/>
    <n v="1"/>
    <n v="40981"/>
    <n v="10"/>
    <x v="2"/>
    <n v="36882.9"/>
  </r>
  <r>
    <s v="ORD1526"/>
    <x v="273"/>
    <x v="2"/>
    <x v="4"/>
    <x v="1"/>
    <x v="2"/>
    <n v="5"/>
    <n v="6796"/>
    <n v="5"/>
    <x v="1"/>
    <n v="32281"/>
  </r>
  <r>
    <s v="ORD1527"/>
    <x v="65"/>
    <x v="1"/>
    <x v="1"/>
    <x v="0"/>
    <x v="0"/>
    <n v="10"/>
    <n v="17071"/>
    <n v="15"/>
    <x v="4"/>
    <n v="145103.5"/>
  </r>
  <r>
    <s v="ORD1528"/>
    <x v="183"/>
    <x v="2"/>
    <x v="1"/>
    <x v="7"/>
    <x v="1"/>
    <n v="1"/>
    <n v="31962"/>
    <n v="20"/>
    <x v="2"/>
    <n v="25569.599999999999"/>
  </r>
  <r>
    <s v="ORD1529"/>
    <x v="57"/>
    <x v="0"/>
    <x v="5"/>
    <x v="9"/>
    <x v="1"/>
    <n v="9"/>
    <n v="42331"/>
    <n v="20"/>
    <x v="3"/>
    <n v="304783.2"/>
  </r>
  <r>
    <s v="ORD1530"/>
    <x v="274"/>
    <x v="0"/>
    <x v="5"/>
    <x v="3"/>
    <x v="0"/>
    <n v="3"/>
    <n v="49607"/>
    <n v="10"/>
    <x v="0"/>
    <n v="133938.9"/>
  </r>
  <r>
    <s v="ORD1531"/>
    <x v="171"/>
    <x v="0"/>
    <x v="5"/>
    <x v="1"/>
    <x v="2"/>
    <n v="5"/>
    <n v="44498"/>
    <n v="5"/>
    <x v="0"/>
    <n v="211365.5"/>
  </r>
  <r>
    <s v="ORD1532"/>
    <x v="275"/>
    <x v="3"/>
    <x v="3"/>
    <x v="7"/>
    <x v="2"/>
    <n v="1"/>
    <n v="44825"/>
    <n v="10"/>
    <x v="0"/>
    <n v="40342.5"/>
  </r>
  <r>
    <s v="ORD1533"/>
    <x v="210"/>
    <x v="3"/>
    <x v="1"/>
    <x v="1"/>
    <x v="1"/>
    <n v="5"/>
    <n v="6117"/>
    <n v="0"/>
    <x v="1"/>
    <n v="30585"/>
  </r>
  <r>
    <s v="ORD1534"/>
    <x v="237"/>
    <x v="2"/>
    <x v="6"/>
    <x v="3"/>
    <x v="0"/>
    <n v="4"/>
    <n v="45831"/>
    <n v="0"/>
    <x v="4"/>
    <n v="183324"/>
  </r>
  <r>
    <s v="ORD1535"/>
    <x v="46"/>
    <x v="0"/>
    <x v="1"/>
    <x v="3"/>
    <x v="1"/>
    <n v="4"/>
    <n v="42529"/>
    <n v="5"/>
    <x v="0"/>
    <n v="161610.20000000001"/>
  </r>
  <r>
    <s v="ORD1536"/>
    <x v="226"/>
    <x v="1"/>
    <x v="4"/>
    <x v="3"/>
    <x v="2"/>
    <n v="6"/>
    <n v="36336"/>
    <n v="5"/>
    <x v="2"/>
    <n v="207115.2"/>
  </r>
  <r>
    <s v="ORD1537"/>
    <x v="129"/>
    <x v="0"/>
    <x v="5"/>
    <x v="9"/>
    <x v="2"/>
    <n v="1"/>
    <n v="38986"/>
    <n v="5"/>
    <x v="4"/>
    <n v="37036.699999999997"/>
  </r>
  <r>
    <s v="ORD1538"/>
    <x v="276"/>
    <x v="0"/>
    <x v="4"/>
    <x v="4"/>
    <x v="0"/>
    <n v="5"/>
    <n v="21479"/>
    <n v="5"/>
    <x v="4"/>
    <n v="102025.25"/>
  </r>
  <r>
    <s v="ORD1539"/>
    <x v="236"/>
    <x v="3"/>
    <x v="5"/>
    <x v="0"/>
    <x v="1"/>
    <n v="9"/>
    <n v="41176"/>
    <n v="10"/>
    <x v="1"/>
    <n v="333525.59999999998"/>
  </r>
  <r>
    <s v="ORD1540"/>
    <x v="277"/>
    <x v="3"/>
    <x v="3"/>
    <x v="8"/>
    <x v="1"/>
    <n v="9"/>
    <n v="4458"/>
    <n v="5"/>
    <x v="1"/>
    <n v="38115.9"/>
  </r>
  <r>
    <s v="ORD1541"/>
    <x v="278"/>
    <x v="1"/>
    <x v="6"/>
    <x v="3"/>
    <x v="2"/>
    <n v="9"/>
    <n v="23514"/>
    <n v="5"/>
    <x v="3"/>
    <n v="201044.7"/>
  </r>
  <r>
    <s v="ORD1542"/>
    <x v="191"/>
    <x v="3"/>
    <x v="2"/>
    <x v="9"/>
    <x v="0"/>
    <n v="10"/>
    <n v="36063"/>
    <n v="5"/>
    <x v="3"/>
    <n v="342598.5"/>
  </r>
  <r>
    <s v="ORD1543"/>
    <x v="204"/>
    <x v="1"/>
    <x v="5"/>
    <x v="1"/>
    <x v="2"/>
    <n v="10"/>
    <n v="1706"/>
    <n v="0"/>
    <x v="1"/>
    <n v="17060"/>
  </r>
  <r>
    <s v="ORD1544"/>
    <x v="207"/>
    <x v="3"/>
    <x v="7"/>
    <x v="3"/>
    <x v="0"/>
    <n v="3"/>
    <n v="31727"/>
    <n v="15"/>
    <x v="1"/>
    <n v="80903.849999999991"/>
  </r>
  <r>
    <s v="ORD1545"/>
    <x v="120"/>
    <x v="0"/>
    <x v="3"/>
    <x v="2"/>
    <x v="2"/>
    <n v="2"/>
    <n v="30755"/>
    <n v="0"/>
    <x v="4"/>
    <n v="61510"/>
  </r>
  <r>
    <s v="ORD1546"/>
    <x v="150"/>
    <x v="0"/>
    <x v="7"/>
    <x v="5"/>
    <x v="2"/>
    <n v="1"/>
    <n v="34597"/>
    <n v="0"/>
    <x v="4"/>
    <n v="34597"/>
  </r>
  <r>
    <s v="ORD1547"/>
    <x v="55"/>
    <x v="1"/>
    <x v="3"/>
    <x v="4"/>
    <x v="0"/>
    <n v="8"/>
    <n v="31751"/>
    <n v="0"/>
    <x v="1"/>
    <n v="254008"/>
  </r>
  <r>
    <s v="ORD1548"/>
    <x v="279"/>
    <x v="1"/>
    <x v="6"/>
    <x v="0"/>
    <x v="2"/>
    <n v="6"/>
    <n v="38615"/>
    <n v="15"/>
    <x v="4"/>
    <n v="196936.5"/>
  </r>
  <r>
    <s v="ORD1549"/>
    <x v="274"/>
    <x v="3"/>
    <x v="1"/>
    <x v="9"/>
    <x v="0"/>
    <n v="3"/>
    <n v="49091"/>
    <n v="15"/>
    <x v="1"/>
    <n v="125182.05"/>
  </r>
  <r>
    <s v="ORD1550"/>
    <x v="37"/>
    <x v="3"/>
    <x v="5"/>
    <x v="0"/>
    <x v="1"/>
    <n v="3"/>
    <n v="22726"/>
    <n v="0"/>
    <x v="4"/>
    <n v="68178"/>
  </r>
  <r>
    <s v="ORD1551"/>
    <x v="8"/>
    <x v="1"/>
    <x v="0"/>
    <x v="2"/>
    <x v="0"/>
    <n v="5"/>
    <n v="28591"/>
    <n v="5"/>
    <x v="1"/>
    <n v="135807.25"/>
  </r>
  <r>
    <s v="ORD1552"/>
    <x v="280"/>
    <x v="1"/>
    <x v="4"/>
    <x v="9"/>
    <x v="0"/>
    <n v="6"/>
    <n v="24128"/>
    <n v="0"/>
    <x v="2"/>
    <n v="144768"/>
  </r>
  <r>
    <s v="ORD1553"/>
    <x v="281"/>
    <x v="0"/>
    <x v="2"/>
    <x v="6"/>
    <x v="2"/>
    <n v="10"/>
    <n v="20308"/>
    <n v="0"/>
    <x v="1"/>
    <n v="203080"/>
  </r>
  <r>
    <s v="ORD1554"/>
    <x v="218"/>
    <x v="0"/>
    <x v="4"/>
    <x v="1"/>
    <x v="2"/>
    <n v="4"/>
    <n v="19953"/>
    <n v="20"/>
    <x v="2"/>
    <n v="63849.600000000013"/>
  </r>
  <r>
    <s v="ORD1555"/>
    <x v="234"/>
    <x v="1"/>
    <x v="2"/>
    <x v="7"/>
    <x v="2"/>
    <n v="4"/>
    <n v="11977"/>
    <n v="20"/>
    <x v="0"/>
    <n v="38326.400000000001"/>
  </r>
  <r>
    <s v="ORD1556"/>
    <x v="282"/>
    <x v="0"/>
    <x v="3"/>
    <x v="6"/>
    <x v="0"/>
    <n v="5"/>
    <n v="3315"/>
    <n v="0"/>
    <x v="2"/>
    <n v="16575"/>
  </r>
  <r>
    <s v="ORD1557"/>
    <x v="283"/>
    <x v="2"/>
    <x v="2"/>
    <x v="8"/>
    <x v="2"/>
    <n v="5"/>
    <n v="46550"/>
    <n v="15"/>
    <x v="0"/>
    <n v="197837.5"/>
  </r>
  <r>
    <s v="ORD1558"/>
    <x v="137"/>
    <x v="3"/>
    <x v="4"/>
    <x v="4"/>
    <x v="2"/>
    <n v="2"/>
    <n v="40166"/>
    <n v="0"/>
    <x v="3"/>
    <n v="80332"/>
  </r>
  <r>
    <s v="ORD1559"/>
    <x v="284"/>
    <x v="0"/>
    <x v="1"/>
    <x v="3"/>
    <x v="1"/>
    <n v="10"/>
    <n v="20927"/>
    <n v="10"/>
    <x v="4"/>
    <n v="188343"/>
  </r>
  <r>
    <s v="ORD1560"/>
    <x v="203"/>
    <x v="2"/>
    <x v="5"/>
    <x v="6"/>
    <x v="1"/>
    <n v="7"/>
    <n v="48642"/>
    <n v="0"/>
    <x v="3"/>
    <n v="340494"/>
  </r>
  <r>
    <s v="ORD1561"/>
    <x v="69"/>
    <x v="1"/>
    <x v="2"/>
    <x v="2"/>
    <x v="0"/>
    <n v="10"/>
    <n v="37943"/>
    <n v="0"/>
    <x v="1"/>
    <n v="379430"/>
  </r>
  <r>
    <s v="ORD1562"/>
    <x v="183"/>
    <x v="0"/>
    <x v="7"/>
    <x v="8"/>
    <x v="0"/>
    <n v="4"/>
    <n v="18068"/>
    <n v="10"/>
    <x v="2"/>
    <n v="65044.800000000003"/>
  </r>
  <r>
    <s v="ORD1563"/>
    <x v="208"/>
    <x v="1"/>
    <x v="3"/>
    <x v="6"/>
    <x v="1"/>
    <n v="2"/>
    <n v="5025"/>
    <n v="0"/>
    <x v="0"/>
    <n v="10050"/>
  </r>
  <r>
    <s v="ORD1564"/>
    <x v="155"/>
    <x v="3"/>
    <x v="2"/>
    <x v="5"/>
    <x v="0"/>
    <n v="6"/>
    <n v="42241"/>
    <n v="0"/>
    <x v="0"/>
    <n v="253446"/>
  </r>
  <r>
    <s v="ORD1565"/>
    <x v="92"/>
    <x v="1"/>
    <x v="1"/>
    <x v="7"/>
    <x v="0"/>
    <n v="8"/>
    <n v="32009"/>
    <n v="0"/>
    <x v="2"/>
    <n v="256072"/>
  </r>
  <r>
    <s v="ORD1566"/>
    <x v="285"/>
    <x v="2"/>
    <x v="4"/>
    <x v="8"/>
    <x v="1"/>
    <n v="3"/>
    <n v="38889"/>
    <n v="20"/>
    <x v="1"/>
    <n v="93333.6"/>
  </r>
  <r>
    <s v="ORD1567"/>
    <x v="286"/>
    <x v="1"/>
    <x v="2"/>
    <x v="0"/>
    <x v="1"/>
    <n v="8"/>
    <n v="12080"/>
    <n v="5"/>
    <x v="2"/>
    <n v="91808"/>
  </r>
  <r>
    <s v="ORD1568"/>
    <x v="196"/>
    <x v="2"/>
    <x v="5"/>
    <x v="0"/>
    <x v="0"/>
    <n v="10"/>
    <n v="38542"/>
    <n v="20"/>
    <x v="3"/>
    <n v="308336"/>
  </r>
  <r>
    <s v="ORD1569"/>
    <x v="196"/>
    <x v="0"/>
    <x v="3"/>
    <x v="7"/>
    <x v="0"/>
    <n v="2"/>
    <n v="4382"/>
    <n v="5"/>
    <x v="3"/>
    <n v="8325.7999999999993"/>
  </r>
  <r>
    <s v="ORD1570"/>
    <x v="216"/>
    <x v="0"/>
    <x v="7"/>
    <x v="0"/>
    <x v="2"/>
    <n v="10"/>
    <n v="44012"/>
    <n v="5"/>
    <x v="1"/>
    <n v="418114"/>
  </r>
  <r>
    <s v="ORD1571"/>
    <x v="175"/>
    <x v="2"/>
    <x v="2"/>
    <x v="7"/>
    <x v="0"/>
    <n v="5"/>
    <n v="20120"/>
    <n v="10"/>
    <x v="2"/>
    <n v="90540"/>
  </r>
  <r>
    <s v="ORD1572"/>
    <x v="270"/>
    <x v="3"/>
    <x v="4"/>
    <x v="9"/>
    <x v="2"/>
    <n v="1"/>
    <n v="49324"/>
    <n v="0"/>
    <x v="3"/>
    <n v="49324"/>
  </r>
  <r>
    <s v="ORD1573"/>
    <x v="178"/>
    <x v="3"/>
    <x v="5"/>
    <x v="7"/>
    <x v="1"/>
    <n v="10"/>
    <n v="41915"/>
    <n v="0"/>
    <x v="0"/>
    <n v="419150"/>
  </r>
  <r>
    <s v="ORD1574"/>
    <x v="287"/>
    <x v="3"/>
    <x v="4"/>
    <x v="1"/>
    <x v="1"/>
    <n v="7"/>
    <n v="2789"/>
    <n v="5"/>
    <x v="0"/>
    <n v="18546.849999999999"/>
  </r>
  <r>
    <s v="ORD1575"/>
    <x v="151"/>
    <x v="0"/>
    <x v="2"/>
    <x v="0"/>
    <x v="1"/>
    <n v="2"/>
    <n v="19796"/>
    <n v="10"/>
    <x v="4"/>
    <n v="35632.800000000003"/>
  </r>
  <r>
    <s v="ORD1576"/>
    <x v="146"/>
    <x v="0"/>
    <x v="6"/>
    <x v="3"/>
    <x v="1"/>
    <n v="1"/>
    <n v="32769"/>
    <n v="20"/>
    <x v="2"/>
    <n v="26215.200000000001"/>
  </r>
  <r>
    <s v="ORD1577"/>
    <x v="232"/>
    <x v="3"/>
    <x v="7"/>
    <x v="1"/>
    <x v="0"/>
    <n v="6"/>
    <n v="6407"/>
    <n v="10"/>
    <x v="1"/>
    <n v="34597.800000000003"/>
  </r>
  <r>
    <s v="ORD1578"/>
    <x v="172"/>
    <x v="1"/>
    <x v="1"/>
    <x v="9"/>
    <x v="0"/>
    <n v="6"/>
    <n v="9311"/>
    <n v="10"/>
    <x v="0"/>
    <n v="50279.4"/>
  </r>
  <r>
    <s v="ORD1579"/>
    <x v="237"/>
    <x v="3"/>
    <x v="0"/>
    <x v="6"/>
    <x v="2"/>
    <n v="7"/>
    <n v="34134"/>
    <n v="5"/>
    <x v="0"/>
    <n v="226991.1"/>
  </r>
  <r>
    <s v="ORD1580"/>
    <x v="245"/>
    <x v="1"/>
    <x v="3"/>
    <x v="2"/>
    <x v="1"/>
    <n v="7"/>
    <n v="6037"/>
    <n v="20"/>
    <x v="3"/>
    <n v="33807.199999999997"/>
  </r>
  <r>
    <s v="ORD1581"/>
    <x v="220"/>
    <x v="3"/>
    <x v="7"/>
    <x v="4"/>
    <x v="0"/>
    <n v="2"/>
    <n v="19209"/>
    <n v="20"/>
    <x v="0"/>
    <n v="30734.400000000001"/>
  </r>
  <r>
    <s v="ORD1582"/>
    <x v="288"/>
    <x v="1"/>
    <x v="3"/>
    <x v="7"/>
    <x v="2"/>
    <n v="4"/>
    <n v="17518"/>
    <n v="5"/>
    <x v="2"/>
    <n v="66568.399999999994"/>
  </r>
  <r>
    <s v="ORD1583"/>
    <x v="15"/>
    <x v="0"/>
    <x v="5"/>
    <x v="0"/>
    <x v="2"/>
    <n v="10"/>
    <n v="9686"/>
    <n v="20"/>
    <x v="2"/>
    <n v="77488"/>
  </r>
  <r>
    <s v="ORD1584"/>
    <x v="217"/>
    <x v="3"/>
    <x v="6"/>
    <x v="1"/>
    <x v="2"/>
    <n v="1"/>
    <n v="41356"/>
    <n v="20"/>
    <x v="4"/>
    <n v="33084.800000000003"/>
  </r>
  <r>
    <s v="ORD1585"/>
    <x v="186"/>
    <x v="3"/>
    <x v="4"/>
    <x v="9"/>
    <x v="1"/>
    <n v="7"/>
    <n v="19413"/>
    <n v="0"/>
    <x v="3"/>
    <n v="135891"/>
  </r>
  <r>
    <s v="ORD1586"/>
    <x v="276"/>
    <x v="2"/>
    <x v="3"/>
    <x v="5"/>
    <x v="2"/>
    <n v="1"/>
    <n v="19036"/>
    <n v="0"/>
    <x v="2"/>
    <n v="19036"/>
  </r>
  <r>
    <s v="ORD1587"/>
    <x v="164"/>
    <x v="3"/>
    <x v="1"/>
    <x v="9"/>
    <x v="1"/>
    <n v="5"/>
    <n v="17839"/>
    <n v="20"/>
    <x v="2"/>
    <n v="71356"/>
  </r>
  <r>
    <s v="ORD1588"/>
    <x v="22"/>
    <x v="1"/>
    <x v="5"/>
    <x v="8"/>
    <x v="2"/>
    <n v="9"/>
    <n v="1930"/>
    <n v="0"/>
    <x v="3"/>
    <n v="17370"/>
  </r>
  <r>
    <s v="ORD1589"/>
    <x v="255"/>
    <x v="2"/>
    <x v="7"/>
    <x v="9"/>
    <x v="2"/>
    <n v="1"/>
    <n v="49590"/>
    <n v="20"/>
    <x v="3"/>
    <n v="39672"/>
  </r>
  <r>
    <s v="ORD1590"/>
    <x v="2"/>
    <x v="3"/>
    <x v="5"/>
    <x v="5"/>
    <x v="2"/>
    <n v="6"/>
    <n v="8310"/>
    <n v="5"/>
    <x v="3"/>
    <n v="47367"/>
  </r>
  <r>
    <s v="ORD1591"/>
    <x v="58"/>
    <x v="3"/>
    <x v="1"/>
    <x v="6"/>
    <x v="0"/>
    <n v="9"/>
    <n v="40572"/>
    <n v="5"/>
    <x v="3"/>
    <n v="346890.6"/>
  </r>
  <r>
    <s v="ORD1592"/>
    <x v="4"/>
    <x v="0"/>
    <x v="4"/>
    <x v="1"/>
    <x v="1"/>
    <n v="10"/>
    <n v="12443"/>
    <n v="10"/>
    <x v="4"/>
    <n v="111987"/>
  </r>
  <r>
    <s v="ORD1593"/>
    <x v="152"/>
    <x v="2"/>
    <x v="4"/>
    <x v="1"/>
    <x v="2"/>
    <n v="3"/>
    <n v="39782"/>
    <n v="5"/>
    <x v="0"/>
    <n v="113378.7"/>
  </r>
  <r>
    <s v="ORD1594"/>
    <x v="289"/>
    <x v="1"/>
    <x v="6"/>
    <x v="8"/>
    <x v="1"/>
    <n v="6"/>
    <n v="49428"/>
    <n v="20"/>
    <x v="1"/>
    <n v="237254.39999999999"/>
  </r>
  <r>
    <s v="ORD1595"/>
    <x v="227"/>
    <x v="3"/>
    <x v="3"/>
    <x v="3"/>
    <x v="1"/>
    <n v="9"/>
    <n v="10904"/>
    <n v="0"/>
    <x v="3"/>
    <n v="98136"/>
  </r>
  <r>
    <s v="ORD1596"/>
    <x v="290"/>
    <x v="0"/>
    <x v="3"/>
    <x v="4"/>
    <x v="2"/>
    <n v="4"/>
    <n v="44198"/>
    <n v="0"/>
    <x v="2"/>
    <n v="176792"/>
  </r>
  <r>
    <s v="ORD1597"/>
    <x v="291"/>
    <x v="3"/>
    <x v="4"/>
    <x v="3"/>
    <x v="2"/>
    <n v="3"/>
    <n v="30271"/>
    <n v="5"/>
    <x v="1"/>
    <n v="86272.349999999991"/>
  </r>
  <r>
    <s v="ORD1598"/>
    <x v="292"/>
    <x v="2"/>
    <x v="4"/>
    <x v="7"/>
    <x v="0"/>
    <n v="1"/>
    <n v="25233"/>
    <n v="20"/>
    <x v="4"/>
    <n v="20186.400000000001"/>
  </r>
  <r>
    <s v="ORD1599"/>
    <x v="293"/>
    <x v="1"/>
    <x v="0"/>
    <x v="2"/>
    <x v="2"/>
    <n v="7"/>
    <n v="12494"/>
    <n v="15"/>
    <x v="1"/>
    <n v="74339.3"/>
  </r>
  <r>
    <s v="ORD1600"/>
    <x v="294"/>
    <x v="0"/>
    <x v="2"/>
    <x v="7"/>
    <x v="1"/>
    <n v="8"/>
    <n v="18121"/>
    <n v="10"/>
    <x v="1"/>
    <n v="130471.2"/>
  </r>
  <r>
    <s v="ORD1601"/>
    <x v="204"/>
    <x v="3"/>
    <x v="6"/>
    <x v="8"/>
    <x v="1"/>
    <n v="10"/>
    <n v="46925"/>
    <n v="20"/>
    <x v="0"/>
    <n v="375400"/>
  </r>
  <r>
    <s v="ORD1602"/>
    <x v="295"/>
    <x v="1"/>
    <x v="6"/>
    <x v="5"/>
    <x v="0"/>
    <n v="10"/>
    <n v="16479"/>
    <n v="5"/>
    <x v="0"/>
    <n v="156550.5"/>
  </r>
  <r>
    <s v="ORD1603"/>
    <x v="296"/>
    <x v="3"/>
    <x v="7"/>
    <x v="0"/>
    <x v="2"/>
    <n v="9"/>
    <n v="32779"/>
    <n v="15"/>
    <x v="3"/>
    <n v="250759.35"/>
  </r>
  <r>
    <s v="ORD1604"/>
    <x v="104"/>
    <x v="3"/>
    <x v="2"/>
    <x v="0"/>
    <x v="1"/>
    <n v="2"/>
    <n v="12849"/>
    <n v="0"/>
    <x v="2"/>
    <n v="25698"/>
  </r>
  <r>
    <s v="ORD1605"/>
    <x v="179"/>
    <x v="2"/>
    <x v="1"/>
    <x v="0"/>
    <x v="1"/>
    <n v="4"/>
    <n v="35562"/>
    <n v="5"/>
    <x v="3"/>
    <n v="135135.6"/>
  </r>
  <r>
    <s v="ORD1606"/>
    <x v="255"/>
    <x v="2"/>
    <x v="0"/>
    <x v="0"/>
    <x v="1"/>
    <n v="7"/>
    <n v="3168"/>
    <n v="10"/>
    <x v="1"/>
    <n v="19958.400000000001"/>
  </r>
  <r>
    <s v="ORD1607"/>
    <x v="92"/>
    <x v="3"/>
    <x v="4"/>
    <x v="3"/>
    <x v="1"/>
    <n v="5"/>
    <n v="23468"/>
    <n v="15"/>
    <x v="3"/>
    <n v="99739"/>
  </r>
  <r>
    <s v="ORD1608"/>
    <x v="80"/>
    <x v="0"/>
    <x v="2"/>
    <x v="2"/>
    <x v="1"/>
    <n v="7"/>
    <n v="6531"/>
    <n v="15"/>
    <x v="1"/>
    <n v="38859.449999999997"/>
  </r>
  <r>
    <s v="ORD1609"/>
    <x v="297"/>
    <x v="2"/>
    <x v="4"/>
    <x v="6"/>
    <x v="2"/>
    <n v="3"/>
    <n v="10507"/>
    <n v="5"/>
    <x v="2"/>
    <n v="29944.95"/>
  </r>
  <r>
    <s v="ORD1610"/>
    <x v="130"/>
    <x v="2"/>
    <x v="6"/>
    <x v="7"/>
    <x v="0"/>
    <n v="3"/>
    <n v="40029"/>
    <n v="20"/>
    <x v="4"/>
    <n v="96069.6"/>
  </r>
  <r>
    <s v="ORD1611"/>
    <x v="298"/>
    <x v="2"/>
    <x v="0"/>
    <x v="7"/>
    <x v="2"/>
    <n v="6"/>
    <n v="11102"/>
    <n v="5"/>
    <x v="1"/>
    <n v="63281.399999999987"/>
  </r>
  <r>
    <s v="ORD1612"/>
    <x v="26"/>
    <x v="2"/>
    <x v="6"/>
    <x v="9"/>
    <x v="0"/>
    <n v="2"/>
    <n v="33502"/>
    <n v="15"/>
    <x v="4"/>
    <n v="56953.4"/>
  </r>
  <r>
    <s v="ORD1613"/>
    <x v="258"/>
    <x v="1"/>
    <x v="5"/>
    <x v="8"/>
    <x v="1"/>
    <n v="8"/>
    <n v="28062"/>
    <n v="0"/>
    <x v="0"/>
    <n v="224496"/>
  </r>
  <r>
    <s v="ORD1614"/>
    <x v="204"/>
    <x v="3"/>
    <x v="7"/>
    <x v="8"/>
    <x v="0"/>
    <n v="10"/>
    <n v="26111"/>
    <n v="10"/>
    <x v="3"/>
    <n v="234999"/>
  </r>
  <r>
    <s v="ORD1615"/>
    <x v="299"/>
    <x v="1"/>
    <x v="7"/>
    <x v="5"/>
    <x v="0"/>
    <n v="1"/>
    <n v="16594"/>
    <n v="0"/>
    <x v="3"/>
    <n v="16594"/>
  </r>
  <r>
    <s v="ORD1616"/>
    <x v="300"/>
    <x v="1"/>
    <x v="3"/>
    <x v="7"/>
    <x v="0"/>
    <n v="9"/>
    <n v="44297"/>
    <n v="15"/>
    <x v="4"/>
    <n v="338872.05"/>
  </r>
  <r>
    <s v="ORD1617"/>
    <x v="197"/>
    <x v="3"/>
    <x v="2"/>
    <x v="0"/>
    <x v="2"/>
    <n v="7"/>
    <n v="29847"/>
    <n v="0"/>
    <x v="0"/>
    <n v="208929"/>
  </r>
  <r>
    <s v="ORD1618"/>
    <x v="81"/>
    <x v="2"/>
    <x v="4"/>
    <x v="3"/>
    <x v="2"/>
    <n v="5"/>
    <n v="48579"/>
    <n v="20"/>
    <x v="0"/>
    <n v="194316"/>
  </r>
  <r>
    <s v="ORD1619"/>
    <x v="193"/>
    <x v="0"/>
    <x v="3"/>
    <x v="5"/>
    <x v="1"/>
    <n v="2"/>
    <n v="42784"/>
    <n v="5"/>
    <x v="0"/>
    <n v="81289.599999999991"/>
  </r>
  <r>
    <s v="ORD1620"/>
    <x v="301"/>
    <x v="2"/>
    <x v="1"/>
    <x v="3"/>
    <x v="0"/>
    <n v="7"/>
    <n v="11963"/>
    <n v="15"/>
    <x v="1"/>
    <n v="71179.849999999991"/>
  </r>
  <r>
    <s v="ORD1621"/>
    <x v="290"/>
    <x v="2"/>
    <x v="2"/>
    <x v="3"/>
    <x v="0"/>
    <n v="9"/>
    <n v="14818"/>
    <n v="10"/>
    <x v="0"/>
    <n v="120025.8"/>
  </r>
  <r>
    <s v="ORD1622"/>
    <x v="239"/>
    <x v="2"/>
    <x v="0"/>
    <x v="2"/>
    <x v="0"/>
    <n v="7"/>
    <n v="38863"/>
    <n v="10"/>
    <x v="4"/>
    <n v="244836.9"/>
  </r>
  <r>
    <s v="ORD1623"/>
    <x v="300"/>
    <x v="2"/>
    <x v="3"/>
    <x v="2"/>
    <x v="0"/>
    <n v="3"/>
    <n v="49127"/>
    <n v="20"/>
    <x v="4"/>
    <n v="117904.8"/>
  </r>
  <r>
    <s v="ORD1624"/>
    <x v="236"/>
    <x v="0"/>
    <x v="6"/>
    <x v="1"/>
    <x v="1"/>
    <n v="3"/>
    <n v="23614"/>
    <n v="0"/>
    <x v="2"/>
    <n v="70842"/>
  </r>
  <r>
    <s v="ORD1625"/>
    <x v="136"/>
    <x v="1"/>
    <x v="5"/>
    <x v="9"/>
    <x v="2"/>
    <n v="8"/>
    <n v="4560"/>
    <n v="0"/>
    <x v="3"/>
    <n v="36480"/>
  </r>
  <r>
    <s v="ORD1626"/>
    <x v="257"/>
    <x v="0"/>
    <x v="4"/>
    <x v="3"/>
    <x v="2"/>
    <n v="9"/>
    <n v="43091"/>
    <n v="10"/>
    <x v="3"/>
    <n v="349037.1"/>
  </r>
  <r>
    <s v="ORD1627"/>
    <x v="215"/>
    <x v="3"/>
    <x v="6"/>
    <x v="0"/>
    <x v="0"/>
    <n v="4"/>
    <n v="18327"/>
    <n v="15"/>
    <x v="2"/>
    <n v="62311.8"/>
  </r>
  <r>
    <s v="ORD1628"/>
    <x v="302"/>
    <x v="2"/>
    <x v="6"/>
    <x v="9"/>
    <x v="2"/>
    <n v="8"/>
    <n v="8601"/>
    <n v="0"/>
    <x v="4"/>
    <n v="68808"/>
  </r>
  <r>
    <s v="ORD1629"/>
    <x v="196"/>
    <x v="0"/>
    <x v="1"/>
    <x v="3"/>
    <x v="0"/>
    <n v="7"/>
    <n v="4442"/>
    <n v="15"/>
    <x v="4"/>
    <n v="26429.9"/>
  </r>
  <r>
    <s v="ORD1630"/>
    <x v="235"/>
    <x v="3"/>
    <x v="2"/>
    <x v="6"/>
    <x v="1"/>
    <n v="10"/>
    <n v="11983"/>
    <n v="10"/>
    <x v="4"/>
    <n v="107847"/>
  </r>
  <r>
    <s v="ORD1631"/>
    <x v="18"/>
    <x v="0"/>
    <x v="5"/>
    <x v="5"/>
    <x v="1"/>
    <n v="4"/>
    <n v="31409"/>
    <n v="15"/>
    <x v="3"/>
    <n v="106790.6"/>
  </r>
  <r>
    <s v="ORD1632"/>
    <x v="252"/>
    <x v="2"/>
    <x v="2"/>
    <x v="2"/>
    <x v="2"/>
    <n v="9"/>
    <n v="27132"/>
    <n v="20"/>
    <x v="0"/>
    <n v="195350.39999999999"/>
  </r>
  <r>
    <s v="ORD1633"/>
    <x v="283"/>
    <x v="2"/>
    <x v="3"/>
    <x v="5"/>
    <x v="0"/>
    <n v="10"/>
    <n v="32210"/>
    <n v="10"/>
    <x v="3"/>
    <n v="289890"/>
  </r>
  <r>
    <s v="ORD1634"/>
    <x v="303"/>
    <x v="3"/>
    <x v="7"/>
    <x v="4"/>
    <x v="1"/>
    <n v="9"/>
    <n v="20750"/>
    <n v="15"/>
    <x v="2"/>
    <n v="158737.5"/>
  </r>
  <r>
    <s v="ORD1635"/>
    <x v="31"/>
    <x v="0"/>
    <x v="3"/>
    <x v="7"/>
    <x v="2"/>
    <n v="4"/>
    <n v="32212"/>
    <n v="5"/>
    <x v="0"/>
    <n v="122405.6"/>
  </r>
  <r>
    <s v="ORD1636"/>
    <x v="152"/>
    <x v="2"/>
    <x v="2"/>
    <x v="6"/>
    <x v="1"/>
    <n v="4"/>
    <n v="49899"/>
    <n v="20"/>
    <x v="1"/>
    <n v="159676.79999999999"/>
  </r>
  <r>
    <s v="ORD1637"/>
    <x v="304"/>
    <x v="3"/>
    <x v="3"/>
    <x v="1"/>
    <x v="1"/>
    <n v="2"/>
    <n v="35899"/>
    <n v="15"/>
    <x v="1"/>
    <n v="61028.3"/>
  </r>
  <r>
    <s v="ORD1638"/>
    <x v="305"/>
    <x v="0"/>
    <x v="6"/>
    <x v="6"/>
    <x v="0"/>
    <n v="5"/>
    <n v="16313"/>
    <n v="10"/>
    <x v="4"/>
    <n v="73408.5"/>
  </r>
  <r>
    <s v="ORD1639"/>
    <x v="98"/>
    <x v="0"/>
    <x v="3"/>
    <x v="5"/>
    <x v="2"/>
    <n v="7"/>
    <n v="25890"/>
    <n v="15"/>
    <x v="0"/>
    <n v="154045.5"/>
  </r>
  <r>
    <s v="ORD1640"/>
    <x v="250"/>
    <x v="3"/>
    <x v="3"/>
    <x v="5"/>
    <x v="0"/>
    <n v="6"/>
    <n v="45794"/>
    <n v="5"/>
    <x v="3"/>
    <n v="261025.8"/>
  </r>
  <r>
    <s v="ORD1641"/>
    <x v="247"/>
    <x v="0"/>
    <x v="2"/>
    <x v="3"/>
    <x v="2"/>
    <n v="10"/>
    <n v="47242"/>
    <n v="0"/>
    <x v="2"/>
    <n v="472420"/>
  </r>
  <r>
    <s v="ORD1642"/>
    <x v="272"/>
    <x v="0"/>
    <x v="6"/>
    <x v="3"/>
    <x v="1"/>
    <n v="2"/>
    <n v="26563"/>
    <n v="15"/>
    <x v="4"/>
    <n v="45157.1"/>
  </r>
  <r>
    <s v="ORD1643"/>
    <x v="147"/>
    <x v="2"/>
    <x v="5"/>
    <x v="4"/>
    <x v="0"/>
    <n v="2"/>
    <n v="32102"/>
    <n v="10"/>
    <x v="4"/>
    <n v="57783.6"/>
  </r>
  <r>
    <s v="ORD1644"/>
    <x v="131"/>
    <x v="2"/>
    <x v="0"/>
    <x v="9"/>
    <x v="0"/>
    <n v="7"/>
    <n v="18211"/>
    <n v="5"/>
    <x v="0"/>
    <n v="121103.15"/>
  </r>
  <r>
    <s v="ORD1645"/>
    <x v="143"/>
    <x v="2"/>
    <x v="6"/>
    <x v="4"/>
    <x v="0"/>
    <n v="7"/>
    <n v="10512"/>
    <n v="0"/>
    <x v="2"/>
    <n v="73584"/>
  </r>
  <r>
    <s v="ORD1646"/>
    <x v="3"/>
    <x v="3"/>
    <x v="0"/>
    <x v="1"/>
    <x v="0"/>
    <n v="6"/>
    <n v="35763"/>
    <n v="15"/>
    <x v="1"/>
    <n v="182391.3"/>
  </r>
  <r>
    <s v="ORD1647"/>
    <x v="306"/>
    <x v="1"/>
    <x v="2"/>
    <x v="3"/>
    <x v="2"/>
    <n v="6"/>
    <n v="29490"/>
    <n v="0"/>
    <x v="4"/>
    <n v="176940"/>
  </r>
  <r>
    <s v="ORD1648"/>
    <x v="307"/>
    <x v="0"/>
    <x v="6"/>
    <x v="1"/>
    <x v="2"/>
    <n v="4"/>
    <n v="1777"/>
    <n v="15"/>
    <x v="4"/>
    <n v="6041.8"/>
  </r>
  <r>
    <s v="ORD1649"/>
    <x v="158"/>
    <x v="3"/>
    <x v="1"/>
    <x v="3"/>
    <x v="0"/>
    <n v="6"/>
    <n v="19926"/>
    <n v="15"/>
    <x v="0"/>
    <n v="101622.6"/>
  </r>
  <r>
    <s v="ORD1650"/>
    <x v="203"/>
    <x v="1"/>
    <x v="7"/>
    <x v="3"/>
    <x v="0"/>
    <n v="6"/>
    <n v="30413"/>
    <n v="20"/>
    <x v="4"/>
    <n v="145982.39999999999"/>
  </r>
  <r>
    <s v="ORD1651"/>
    <x v="217"/>
    <x v="1"/>
    <x v="1"/>
    <x v="3"/>
    <x v="2"/>
    <n v="10"/>
    <n v="26035"/>
    <n v="0"/>
    <x v="0"/>
    <n v="260350"/>
  </r>
  <r>
    <s v="ORD1652"/>
    <x v="241"/>
    <x v="3"/>
    <x v="1"/>
    <x v="0"/>
    <x v="2"/>
    <n v="1"/>
    <n v="45465"/>
    <n v="0"/>
    <x v="2"/>
    <n v="45465"/>
  </r>
  <r>
    <s v="ORD1653"/>
    <x v="288"/>
    <x v="1"/>
    <x v="2"/>
    <x v="8"/>
    <x v="0"/>
    <n v="5"/>
    <n v="21688"/>
    <n v="5"/>
    <x v="1"/>
    <n v="103018"/>
  </r>
  <r>
    <s v="ORD1654"/>
    <x v="308"/>
    <x v="2"/>
    <x v="4"/>
    <x v="6"/>
    <x v="2"/>
    <n v="3"/>
    <n v="35750"/>
    <n v="15"/>
    <x v="1"/>
    <n v="91162.5"/>
  </r>
  <r>
    <s v="ORD1655"/>
    <x v="135"/>
    <x v="3"/>
    <x v="3"/>
    <x v="0"/>
    <x v="0"/>
    <n v="6"/>
    <n v="45752"/>
    <n v="15"/>
    <x v="4"/>
    <n v="233335.2"/>
  </r>
  <r>
    <s v="ORD1656"/>
    <x v="213"/>
    <x v="0"/>
    <x v="7"/>
    <x v="7"/>
    <x v="0"/>
    <n v="10"/>
    <n v="3688"/>
    <n v="20"/>
    <x v="4"/>
    <n v="29504"/>
  </r>
  <r>
    <s v="ORD1657"/>
    <x v="105"/>
    <x v="2"/>
    <x v="4"/>
    <x v="5"/>
    <x v="0"/>
    <n v="8"/>
    <n v="7380"/>
    <n v="0"/>
    <x v="0"/>
    <n v="59040"/>
  </r>
  <r>
    <s v="ORD1658"/>
    <x v="309"/>
    <x v="0"/>
    <x v="1"/>
    <x v="2"/>
    <x v="1"/>
    <n v="10"/>
    <n v="35818"/>
    <n v="5"/>
    <x v="2"/>
    <n v="340271"/>
  </r>
  <r>
    <s v="ORD1659"/>
    <x v="310"/>
    <x v="1"/>
    <x v="1"/>
    <x v="1"/>
    <x v="0"/>
    <n v="3"/>
    <n v="42774"/>
    <n v="0"/>
    <x v="0"/>
    <n v="128322"/>
  </r>
  <r>
    <s v="ORD1660"/>
    <x v="295"/>
    <x v="2"/>
    <x v="4"/>
    <x v="8"/>
    <x v="2"/>
    <n v="8"/>
    <n v="24188"/>
    <n v="10"/>
    <x v="3"/>
    <n v="174153.60000000001"/>
  </r>
  <r>
    <s v="ORD1661"/>
    <x v="311"/>
    <x v="0"/>
    <x v="4"/>
    <x v="7"/>
    <x v="1"/>
    <n v="1"/>
    <n v="29297"/>
    <n v="5"/>
    <x v="4"/>
    <n v="27832.15"/>
  </r>
  <r>
    <s v="ORD1662"/>
    <x v="111"/>
    <x v="3"/>
    <x v="0"/>
    <x v="9"/>
    <x v="2"/>
    <n v="4"/>
    <n v="41008"/>
    <n v="10"/>
    <x v="1"/>
    <n v="147628.79999999999"/>
  </r>
  <r>
    <s v="ORD1663"/>
    <x v="251"/>
    <x v="1"/>
    <x v="7"/>
    <x v="3"/>
    <x v="2"/>
    <n v="4"/>
    <n v="43733"/>
    <n v="5"/>
    <x v="1"/>
    <n v="166185.4"/>
  </r>
  <r>
    <s v="ORD1664"/>
    <x v="175"/>
    <x v="0"/>
    <x v="3"/>
    <x v="3"/>
    <x v="2"/>
    <n v="6"/>
    <n v="18864"/>
    <n v="20"/>
    <x v="0"/>
    <n v="90547.200000000012"/>
  </r>
  <r>
    <s v="ORD1665"/>
    <x v="114"/>
    <x v="1"/>
    <x v="4"/>
    <x v="2"/>
    <x v="0"/>
    <n v="3"/>
    <n v="22952"/>
    <n v="15"/>
    <x v="0"/>
    <n v="58527.6"/>
  </r>
  <r>
    <s v="ORD1666"/>
    <x v="291"/>
    <x v="0"/>
    <x v="4"/>
    <x v="2"/>
    <x v="2"/>
    <n v="2"/>
    <n v="18716"/>
    <n v="0"/>
    <x v="4"/>
    <n v="37432"/>
  </r>
  <r>
    <s v="ORD1667"/>
    <x v="180"/>
    <x v="3"/>
    <x v="0"/>
    <x v="2"/>
    <x v="2"/>
    <n v="2"/>
    <n v="18503"/>
    <n v="5"/>
    <x v="0"/>
    <n v="35155.699999999997"/>
  </r>
  <r>
    <s v="ORD1668"/>
    <x v="171"/>
    <x v="2"/>
    <x v="7"/>
    <x v="7"/>
    <x v="2"/>
    <n v="1"/>
    <n v="7440"/>
    <n v="15"/>
    <x v="1"/>
    <n v="6324"/>
  </r>
  <r>
    <s v="ORD1669"/>
    <x v="209"/>
    <x v="0"/>
    <x v="7"/>
    <x v="5"/>
    <x v="1"/>
    <n v="4"/>
    <n v="17734"/>
    <n v="15"/>
    <x v="1"/>
    <n v="60295.6"/>
  </r>
  <r>
    <s v="ORD1670"/>
    <x v="286"/>
    <x v="1"/>
    <x v="5"/>
    <x v="5"/>
    <x v="0"/>
    <n v="10"/>
    <n v="43883"/>
    <n v="10"/>
    <x v="1"/>
    <n v="394947"/>
  </r>
  <r>
    <s v="ORD1671"/>
    <x v="291"/>
    <x v="3"/>
    <x v="6"/>
    <x v="0"/>
    <x v="0"/>
    <n v="3"/>
    <n v="39284"/>
    <n v="20"/>
    <x v="3"/>
    <n v="94281.600000000006"/>
  </r>
  <r>
    <s v="ORD1672"/>
    <x v="190"/>
    <x v="2"/>
    <x v="6"/>
    <x v="1"/>
    <x v="1"/>
    <n v="5"/>
    <n v="26634"/>
    <n v="20"/>
    <x v="0"/>
    <n v="106536"/>
  </r>
  <r>
    <s v="ORD1673"/>
    <x v="312"/>
    <x v="1"/>
    <x v="1"/>
    <x v="0"/>
    <x v="2"/>
    <n v="1"/>
    <n v="31219"/>
    <n v="10"/>
    <x v="4"/>
    <n v="28097.1"/>
  </r>
  <r>
    <s v="ORD1674"/>
    <x v="279"/>
    <x v="3"/>
    <x v="2"/>
    <x v="6"/>
    <x v="1"/>
    <n v="6"/>
    <n v="45255"/>
    <n v="15"/>
    <x v="1"/>
    <n v="230800.5"/>
  </r>
  <r>
    <s v="ORD1675"/>
    <x v="202"/>
    <x v="1"/>
    <x v="2"/>
    <x v="9"/>
    <x v="1"/>
    <n v="2"/>
    <n v="16846"/>
    <n v="10"/>
    <x v="3"/>
    <n v="30322.799999999999"/>
  </r>
  <r>
    <s v="ORD1676"/>
    <x v="101"/>
    <x v="3"/>
    <x v="7"/>
    <x v="1"/>
    <x v="0"/>
    <n v="5"/>
    <n v="49123"/>
    <n v="15"/>
    <x v="0"/>
    <n v="208772.75"/>
  </r>
  <r>
    <s v="ORD1677"/>
    <x v="204"/>
    <x v="2"/>
    <x v="3"/>
    <x v="6"/>
    <x v="0"/>
    <n v="8"/>
    <n v="45032"/>
    <n v="20"/>
    <x v="2"/>
    <n v="288204.79999999999"/>
  </r>
  <r>
    <s v="ORD1678"/>
    <x v="166"/>
    <x v="2"/>
    <x v="6"/>
    <x v="3"/>
    <x v="1"/>
    <n v="8"/>
    <n v="39582"/>
    <n v="15"/>
    <x v="4"/>
    <n v="269157.59999999998"/>
  </r>
  <r>
    <s v="ORD1679"/>
    <x v="293"/>
    <x v="1"/>
    <x v="5"/>
    <x v="8"/>
    <x v="2"/>
    <n v="1"/>
    <n v="13774"/>
    <n v="15"/>
    <x v="4"/>
    <n v="11707.9"/>
  </r>
  <r>
    <s v="ORD1680"/>
    <x v="37"/>
    <x v="3"/>
    <x v="3"/>
    <x v="6"/>
    <x v="0"/>
    <n v="6"/>
    <n v="35075"/>
    <n v="20"/>
    <x v="4"/>
    <n v="168360"/>
  </r>
  <r>
    <s v="ORD1681"/>
    <x v="211"/>
    <x v="0"/>
    <x v="2"/>
    <x v="8"/>
    <x v="2"/>
    <n v="4"/>
    <n v="23112"/>
    <n v="10"/>
    <x v="4"/>
    <n v="83203.199999999997"/>
  </r>
  <r>
    <s v="ORD1682"/>
    <x v="30"/>
    <x v="2"/>
    <x v="4"/>
    <x v="3"/>
    <x v="0"/>
    <n v="9"/>
    <n v="45414"/>
    <n v="5"/>
    <x v="2"/>
    <n v="388289.7"/>
  </r>
  <r>
    <s v="ORD1683"/>
    <x v="313"/>
    <x v="0"/>
    <x v="4"/>
    <x v="4"/>
    <x v="2"/>
    <n v="4"/>
    <n v="46238"/>
    <n v="15"/>
    <x v="0"/>
    <n v="157209.20000000001"/>
  </r>
  <r>
    <s v="ORD1684"/>
    <x v="132"/>
    <x v="0"/>
    <x v="6"/>
    <x v="9"/>
    <x v="2"/>
    <n v="4"/>
    <n v="12791"/>
    <n v="0"/>
    <x v="0"/>
    <n v="51164"/>
  </r>
  <r>
    <s v="ORD1685"/>
    <x v="202"/>
    <x v="1"/>
    <x v="2"/>
    <x v="8"/>
    <x v="2"/>
    <n v="9"/>
    <n v="21530"/>
    <n v="0"/>
    <x v="0"/>
    <n v="193770"/>
  </r>
  <r>
    <s v="ORD1686"/>
    <x v="25"/>
    <x v="1"/>
    <x v="2"/>
    <x v="3"/>
    <x v="1"/>
    <n v="9"/>
    <n v="36888"/>
    <n v="10"/>
    <x v="4"/>
    <n v="298792.8"/>
  </r>
  <r>
    <s v="ORD1687"/>
    <x v="99"/>
    <x v="1"/>
    <x v="3"/>
    <x v="6"/>
    <x v="0"/>
    <n v="5"/>
    <n v="1693"/>
    <n v="15"/>
    <x v="2"/>
    <n v="7195.25"/>
  </r>
  <r>
    <s v="ORD1688"/>
    <x v="9"/>
    <x v="3"/>
    <x v="1"/>
    <x v="8"/>
    <x v="2"/>
    <n v="9"/>
    <n v="45092"/>
    <n v="15"/>
    <x v="3"/>
    <n v="344953.8"/>
  </r>
  <r>
    <s v="ORD1689"/>
    <x v="19"/>
    <x v="2"/>
    <x v="5"/>
    <x v="1"/>
    <x v="2"/>
    <n v="8"/>
    <n v="1555"/>
    <n v="5"/>
    <x v="4"/>
    <n v="11818"/>
  </r>
  <r>
    <s v="ORD1690"/>
    <x v="26"/>
    <x v="2"/>
    <x v="6"/>
    <x v="4"/>
    <x v="1"/>
    <n v="10"/>
    <n v="5453"/>
    <n v="5"/>
    <x v="2"/>
    <n v="51803.5"/>
  </r>
  <r>
    <s v="ORD1691"/>
    <x v="206"/>
    <x v="0"/>
    <x v="1"/>
    <x v="0"/>
    <x v="1"/>
    <n v="3"/>
    <n v="1783"/>
    <n v="0"/>
    <x v="1"/>
    <n v="5349"/>
  </r>
  <r>
    <s v="ORD1692"/>
    <x v="26"/>
    <x v="1"/>
    <x v="2"/>
    <x v="1"/>
    <x v="2"/>
    <n v="1"/>
    <n v="27951"/>
    <n v="0"/>
    <x v="0"/>
    <n v="27951"/>
  </r>
  <r>
    <s v="ORD1693"/>
    <x v="241"/>
    <x v="3"/>
    <x v="6"/>
    <x v="0"/>
    <x v="2"/>
    <n v="7"/>
    <n v="7402"/>
    <n v="0"/>
    <x v="4"/>
    <n v="51814"/>
  </r>
  <r>
    <s v="ORD1694"/>
    <x v="269"/>
    <x v="2"/>
    <x v="7"/>
    <x v="3"/>
    <x v="0"/>
    <n v="10"/>
    <n v="35423"/>
    <n v="0"/>
    <x v="4"/>
    <n v="354230"/>
  </r>
  <r>
    <s v="ORD1695"/>
    <x v="147"/>
    <x v="3"/>
    <x v="5"/>
    <x v="2"/>
    <x v="0"/>
    <n v="9"/>
    <n v="7809"/>
    <n v="15"/>
    <x v="2"/>
    <n v="59738.85"/>
  </r>
  <r>
    <s v="ORD1696"/>
    <x v="267"/>
    <x v="1"/>
    <x v="6"/>
    <x v="1"/>
    <x v="1"/>
    <n v="1"/>
    <n v="45924"/>
    <n v="0"/>
    <x v="0"/>
    <n v="45924"/>
  </r>
  <r>
    <s v="ORD1697"/>
    <x v="202"/>
    <x v="1"/>
    <x v="1"/>
    <x v="1"/>
    <x v="1"/>
    <n v="5"/>
    <n v="30225"/>
    <n v="5"/>
    <x v="3"/>
    <n v="143568.75"/>
  </r>
  <r>
    <s v="ORD1698"/>
    <x v="36"/>
    <x v="2"/>
    <x v="2"/>
    <x v="3"/>
    <x v="0"/>
    <n v="3"/>
    <n v="24036"/>
    <n v="15"/>
    <x v="1"/>
    <n v="61291.8"/>
  </r>
  <r>
    <s v="ORD1699"/>
    <x v="174"/>
    <x v="0"/>
    <x v="1"/>
    <x v="5"/>
    <x v="0"/>
    <n v="1"/>
    <n v="15379"/>
    <n v="20"/>
    <x v="2"/>
    <n v="12303.2"/>
  </r>
  <r>
    <s v="ORD1700"/>
    <x v="266"/>
    <x v="0"/>
    <x v="4"/>
    <x v="3"/>
    <x v="0"/>
    <n v="5"/>
    <n v="48530"/>
    <n v="10"/>
    <x v="3"/>
    <n v="218385"/>
  </r>
  <r>
    <s v="ORD1701"/>
    <x v="282"/>
    <x v="1"/>
    <x v="4"/>
    <x v="9"/>
    <x v="0"/>
    <n v="4"/>
    <n v="19566"/>
    <n v="5"/>
    <x v="3"/>
    <n v="74350.8"/>
  </r>
  <r>
    <s v="ORD1702"/>
    <x v="154"/>
    <x v="1"/>
    <x v="1"/>
    <x v="4"/>
    <x v="2"/>
    <n v="10"/>
    <n v="17508"/>
    <n v="10"/>
    <x v="1"/>
    <n v="157572"/>
  </r>
  <r>
    <s v="ORD1703"/>
    <x v="117"/>
    <x v="0"/>
    <x v="4"/>
    <x v="9"/>
    <x v="2"/>
    <n v="5"/>
    <n v="13653"/>
    <n v="20"/>
    <x v="1"/>
    <n v="54612"/>
  </r>
  <r>
    <s v="ORD1704"/>
    <x v="150"/>
    <x v="1"/>
    <x v="4"/>
    <x v="7"/>
    <x v="2"/>
    <n v="1"/>
    <n v="3230"/>
    <n v="20"/>
    <x v="1"/>
    <n v="2584"/>
  </r>
  <r>
    <s v="ORD1705"/>
    <x v="229"/>
    <x v="2"/>
    <x v="1"/>
    <x v="5"/>
    <x v="1"/>
    <n v="8"/>
    <n v="2553"/>
    <n v="0"/>
    <x v="3"/>
    <n v="20424"/>
  </r>
  <r>
    <s v="ORD1706"/>
    <x v="77"/>
    <x v="2"/>
    <x v="3"/>
    <x v="5"/>
    <x v="0"/>
    <n v="1"/>
    <n v="41592"/>
    <n v="0"/>
    <x v="2"/>
    <n v="41592"/>
  </r>
  <r>
    <s v="ORD1707"/>
    <x v="20"/>
    <x v="3"/>
    <x v="1"/>
    <x v="5"/>
    <x v="2"/>
    <n v="2"/>
    <n v="7025"/>
    <n v="20"/>
    <x v="3"/>
    <n v="11240"/>
  </r>
  <r>
    <s v="ORD1708"/>
    <x v="314"/>
    <x v="0"/>
    <x v="1"/>
    <x v="4"/>
    <x v="0"/>
    <n v="7"/>
    <n v="4727"/>
    <n v="15"/>
    <x v="2"/>
    <n v="28125.65"/>
  </r>
  <r>
    <s v="ORD1709"/>
    <x v="315"/>
    <x v="1"/>
    <x v="3"/>
    <x v="9"/>
    <x v="0"/>
    <n v="5"/>
    <n v="39937"/>
    <n v="15"/>
    <x v="3"/>
    <n v="169732.25"/>
  </r>
  <r>
    <s v="ORD1710"/>
    <x v="230"/>
    <x v="3"/>
    <x v="5"/>
    <x v="0"/>
    <x v="1"/>
    <n v="6"/>
    <n v="44031"/>
    <n v="5"/>
    <x v="1"/>
    <n v="250976.7"/>
  </r>
  <r>
    <s v="ORD1711"/>
    <x v="237"/>
    <x v="2"/>
    <x v="1"/>
    <x v="6"/>
    <x v="2"/>
    <n v="2"/>
    <n v="15209"/>
    <n v="10"/>
    <x v="0"/>
    <n v="27376.2"/>
  </r>
  <r>
    <s v="ORD1712"/>
    <x v="20"/>
    <x v="0"/>
    <x v="1"/>
    <x v="4"/>
    <x v="2"/>
    <n v="1"/>
    <n v="40281"/>
    <n v="15"/>
    <x v="4"/>
    <n v="34238.85"/>
  </r>
  <r>
    <s v="ORD1713"/>
    <x v="316"/>
    <x v="2"/>
    <x v="2"/>
    <x v="2"/>
    <x v="0"/>
    <n v="5"/>
    <n v="42817"/>
    <n v="15"/>
    <x v="3"/>
    <n v="181972.25"/>
  </r>
  <r>
    <s v="ORD1714"/>
    <x v="95"/>
    <x v="1"/>
    <x v="3"/>
    <x v="6"/>
    <x v="2"/>
    <n v="7"/>
    <n v="8981"/>
    <n v="20"/>
    <x v="4"/>
    <n v="50293.600000000013"/>
  </r>
  <r>
    <s v="ORD1715"/>
    <x v="102"/>
    <x v="3"/>
    <x v="0"/>
    <x v="3"/>
    <x v="2"/>
    <n v="4"/>
    <n v="47404"/>
    <n v="10"/>
    <x v="4"/>
    <n v="170654.4"/>
  </r>
  <r>
    <s v="ORD1716"/>
    <x v="317"/>
    <x v="1"/>
    <x v="2"/>
    <x v="2"/>
    <x v="0"/>
    <n v="7"/>
    <n v="8862"/>
    <n v="20"/>
    <x v="4"/>
    <n v="49627.199999999997"/>
  </r>
  <r>
    <s v="ORD1717"/>
    <x v="78"/>
    <x v="1"/>
    <x v="0"/>
    <x v="7"/>
    <x v="0"/>
    <n v="9"/>
    <n v="6661"/>
    <n v="10"/>
    <x v="3"/>
    <n v="53954.1"/>
  </r>
  <r>
    <s v="ORD1718"/>
    <x v="194"/>
    <x v="0"/>
    <x v="3"/>
    <x v="8"/>
    <x v="1"/>
    <n v="2"/>
    <n v="40628"/>
    <n v="20"/>
    <x v="0"/>
    <n v="65004.800000000003"/>
  </r>
  <r>
    <s v="ORD1719"/>
    <x v="197"/>
    <x v="0"/>
    <x v="1"/>
    <x v="8"/>
    <x v="2"/>
    <n v="6"/>
    <n v="9513"/>
    <n v="20"/>
    <x v="4"/>
    <n v="45662.400000000001"/>
  </r>
  <r>
    <s v="ORD1720"/>
    <x v="224"/>
    <x v="1"/>
    <x v="7"/>
    <x v="0"/>
    <x v="0"/>
    <n v="8"/>
    <n v="25638"/>
    <n v="0"/>
    <x v="3"/>
    <n v="205104"/>
  </r>
  <r>
    <s v="ORD1721"/>
    <x v="37"/>
    <x v="0"/>
    <x v="4"/>
    <x v="1"/>
    <x v="2"/>
    <n v="10"/>
    <n v="44017"/>
    <n v="0"/>
    <x v="3"/>
    <n v="440170"/>
  </r>
  <r>
    <s v="ORD1722"/>
    <x v="278"/>
    <x v="3"/>
    <x v="3"/>
    <x v="2"/>
    <x v="2"/>
    <n v="9"/>
    <n v="43461"/>
    <n v="15"/>
    <x v="3"/>
    <n v="332476.65000000002"/>
  </r>
  <r>
    <s v="ORD1723"/>
    <x v="90"/>
    <x v="3"/>
    <x v="4"/>
    <x v="5"/>
    <x v="0"/>
    <n v="2"/>
    <n v="38097"/>
    <n v="0"/>
    <x v="3"/>
    <n v="76194"/>
  </r>
  <r>
    <s v="ORD1724"/>
    <x v="63"/>
    <x v="1"/>
    <x v="3"/>
    <x v="9"/>
    <x v="2"/>
    <n v="3"/>
    <n v="13108"/>
    <n v="15"/>
    <x v="3"/>
    <n v="33425.4"/>
  </r>
  <r>
    <s v="ORD1725"/>
    <x v="278"/>
    <x v="3"/>
    <x v="4"/>
    <x v="8"/>
    <x v="2"/>
    <n v="4"/>
    <n v="8264"/>
    <n v="15"/>
    <x v="2"/>
    <n v="28097.599999999999"/>
  </r>
  <r>
    <s v="ORD1726"/>
    <x v="36"/>
    <x v="1"/>
    <x v="3"/>
    <x v="1"/>
    <x v="1"/>
    <n v="9"/>
    <n v="46590"/>
    <n v="10"/>
    <x v="2"/>
    <n v="377379"/>
  </r>
  <r>
    <s v="ORD1727"/>
    <x v="37"/>
    <x v="3"/>
    <x v="3"/>
    <x v="8"/>
    <x v="2"/>
    <n v="8"/>
    <n v="13075"/>
    <n v="15"/>
    <x v="4"/>
    <n v="88910"/>
  </r>
  <r>
    <s v="ORD1728"/>
    <x v="29"/>
    <x v="2"/>
    <x v="1"/>
    <x v="4"/>
    <x v="1"/>
    <n v="9"/>
    <n v="17602"/>
    <n v="15"/>
    <x v="2"/>
    <n v="134655.29999999999"/>
  </r>
  <r>
    <s v="ORD1729"/>
    <x v="279"/>
    <x v="1"/>
    <x v="6"/>
    <x v="9"/>
    <x v="1"/>
    <n v="1"/>
    <n v="20304"/>
    <n v="15"/>
    <x v="3"/>
    <n v="17258.400000000001"/>
  </r>
  <r>
    <s v="ORD1730"/>
    <x v="318"/>
    <x v="3"/>
    <x v="0"/>
    <x v="1"/>
    <x v="0"/>
    <n v="1"/>
    <n v="31602"/>
    <n v="0"/>
    <x v="3"/>
    <n v="31602"/>
  </r>
  <r>
    <s v="ORD1731"/>
    <x v="213"/>
    <x v="2"/>
    <x v="7"/>
    <x v="8"/>
    <x v="2"/>
    <n v="4"/>
    <n v="44285"/>
    <n v="0"/>
    <x v="2"/>
    <n v="177140"/>
  </r>
  <r>
    <s v="ORD1732"/>
    <x v="261"/>
    <x v="1"/>
    <x v="5"/>
    <x v="1"/>
    <x v="2"/>
    <n v="9"/>
    <n v="5962"/>
    <n v="5"/>
    <x v="4"/>
    <n v="50975.1"/>
  </r>
  <r>
    <s v="ORD1733"/>
    <x v="141"/>
    <x v="3"/>
    <x v="0"/>
    <x v="7"/>
    <x v="1"/>
    <n v="5"/>
    <n v="42863"/>
    <n v="20"/>
    <x v="4"/>
    <n v="171452"/>
  </r>
  <r>
    <s v="ORD1734"/>
    <x v="135"/>
    <x v="3"/>
    <x v="5"/>
    <x v="7"/>
    <x v="0"/>
    <n v="6"/>
    <n v="30716"/>
    <n v="10"/>
    <x v="1"/>
    <n v="165866.4"/>
  </r>
  <r>
    <s v="ORD1735"/>
    <x v="246"/>
    <x v="2"/>
    <x v="7"/>
    <x v="9"/>
    <x v="1"/>
    <n v="8"/>
    <n v="19113"/>
    <n v="5"/>
    <x v="2"/>
    <n v="145258.79999999999"/>
  </r>
  <r>
    <s v="ORD1736"/>
    <x v="263"/>
    <x v="0"/>
    <x v="5"/>
    <x v="3"/>
    <x v="1"/>
    <n v="7"/>
    <n v="28982"/>
    <n v="15"/>
    <x v="3"/>
    <n v="172442.9"/>
  </r>
  <r>
    <s v="ORD1737"/>
    <x v="5"/>
    <x v="0"/>
    <x v="1"/>
    <x v="0"/>
    <x v="1"/>
    <n v="3"/>
    <n v="46365"/>
    <n v="15"/>
    <x v="3"/>
    <n v="118230.75"/>
  </r>
  <r>
    <s v="ORD1738"/>
    <x v="23"/>
    <x v="2"/>
    <x v="3"/>
    <x v="8"/>
    <x v="2"/>
    <n v="1"/>
    <n v="44750"/>
    <n v="5"/>
    <x v="1"/>
    <n v="42512.5"/>
  </r>
  <r>
    <s v="ORD1739"/>
    <x v="57"/>
    <x v="2"/>
    <x v="3"/>
    <x v="5"/>
    <x v="2"/>
    <n v="6"/>
    <n v="22194"/>
    <n v="10"/>
    <x v="2"/>
    <n v="119847.6"/>
  </r>
  <r>
    <s v="ORD1740"/>
    <x v="198"/>
    <x v="1"/>
    <x v="6"/>
    <x v="8"/>
    <x v="2"/>
    <n v="6"/>
    <n v="17864"/>
    <n v="15"/>
    <x v="4"/>
    <n v="91106.4"/>
  </r>
  <r>
    <s v="ORD1741"/>
    <x v="219"/>
    <x v="0"/>
    <x v="6"/>
    <x v="9"/>
    <x v="2"/>
    <n v="6"/>
    <n v="11614"/>
    <n v="15"/>
    <x v="0"/>
    <n v="59231.4"/>
  </r>
  <r>
    <s v="ORD1742"/>
    <x v="14"/>
    <x v="1"/>
    <x v="5"/>
    <x v="4"/>
    <x v="0"/>
    <n v="5"/>
    <n v="5849"/>
    <n v="0"/>
    <x v="1"/>
    <n v="29245"/>
  </r>
  <r>
    <s v="ORD1743"/>
    <x v="98"/>
    <x v="3"/>
    <x v="2"/>
    <x v="8"/>
    <x v="1"/>
    <n v="4"/>
    <n v="19172"/>
    <n v="20"/>
    <x v="4"/>
    <n v="61350.400000000001"/>
  </r>
  <r>
    <s v="ORD1744"/>
    <x v="157"/>
    <x v="2"/>
    <x v="0"/>
    <x v="5"/>
    <x v="0"/>
    <n v="9"/>
    <n v="5088"/>
    <n v="15"/>
    <x v="3"/>
    <n v="38923.199999999997"/>
  </r>
  <r>
    <s v="ORD1745"/>
    <x v="166"/>
    <x v="1"/>
    <x v="3"/>
    <x v="2"/>
    <x v="1"/>
    <n v="5"/>
    <n v="26087"/>
    <n v="20"/>
    <x v="1"/>
    <n v="104348"/>
  </r>
  <r>
    <s v="ORD1746"/>
    <x v="229"/>
    <x v="2"/>
    <x v="7"/>
    <x v="2"/>
    <x v="1"/>
    <n v="1"/>
    <n v="26466"/>
    <n v="20"/>
    <x v="1"/>
    <n v="21172.799999999999"/>
  </r>
  <r>
    <s v="ORD1747"/>
    <x v="111"/>
    <x v="1"/>
    <x v="4"/>
    <x v="2"/>
    <x v="0"/>
    <n v="5"/>
    <n v="22800"/>
    <n v="20"/>
    <x v="0"/>
    <n v="91200"/>
  </r>
  <r>
    <s v="ORD1748"/>
    <x v="143"/>
    <x v="3"/>
    <x v="6"/>
    <x v="2"/>
    <x v="0"/>
    <n v="7"/>
    <n v="4936"/>
    <n v="15"/>
    <x v="4"/>
    <n v="29369.200000000001"/>
  </r>
  <r>
    <s v="ORD1749"/>
    <x v="149"/>
    <x v="3"/>
    <x v="7"/>
    <x v="9"/>
    <x v="1"/>
    <n v="1"/>
    <n v="17923"/>
    <n v="15"/>
    <x v="0"/>
    <n v="15234.55"/>
  </r>
  <r>
    <s v="ORD1750"/>
    <x v="178"/>
    <x v="0"/>
    <x v="5"/>
    <x v="2"/>
    <x v="2"/>
    <n v="9"/>
    <n v="18345"/>
    <n v="20"/>
    <x v="1"/>
    <n v="132084"/>
  </r>
  <r>
    <s v="ORD1751"/>
    <x v="174"/>
    <x v="0"/>
    <x v="0"/>
    <x v="7"/>
    <x v="2"/>
    <n v="5"/>
    <n v="12660"/>
    <n v="5"/>
    <x v="4"/>
    <n v="60135"/>
  </r>
  <r>
    <s v="ORD1752"/>
    <x v="122"/>
    <x v="3"/>
    <x v="3"/>
    <x v="7"/>
    <x v="1"/>
    <n v="4"/>
    <n v="29873"/>
    <n v="20"/>
    <x v="2"/>
    <n v="95593.600000000006"/>
  </r>
  <r>
    <s v="ORD1753"/>
    <x v="230"/>
    <x v="1"/>
    <x v="5"/>
    <x v="6"/>
    <x v="1"/>
    <n v="3"/>
    <n v="5548"/>
    <n v="0"/>
    <x v="1"/>
    <n v="16644"/>
  </r>
  <r>
    <s v="ORD1754"/>
    <x v="16"/>
    <x v="2"/>
    <x v="2"/>
    <x v="0"/>
    <x v="0"/>
    <n v="6"/>
    <n v="33225"/>
    <n v="15"/>
    <x v="0"/>
    <n v="169447.5"/>
  </r>
  <r>
    <s v="ORD1755"/>
    <x v="286"/>
    <x v="3"/>
    <x v="6"/>
    <x v="1"/>
    <x v="0"/>
    <n v="7"/>
    <n v="14151"/>
    <n v="10"/>
    <x v="0"/>
    <n v="89151.3"/>
  </r>
  <r>
    <s v="ORD1756"/>
    <x v="319"/>
    <x v="3"/>
    <x v="3"/>
    <x v="7"/>
    <x v="2"/>
    <n v="3"/>
    <n v="40996"/>
    <n v="15"/>
    <x v="0"/>
    <n v="104539.8"/>
  </r>
  <r>
    <s v="ORD1757"/>
    <x v="320"/>
    <x v="1"/>
    <x v="6"/>
    <x v="1"/>
    <x v="2"/>
    <n v="2"/>
    <n v="26731"/>
    <n v="20"/>
    <x v="0"/>
    <n v="42769.600000000013"/>
  </r>
  <r>
    <s v="ORD1758"/>
    <x v="321"/>
    <x v="3"/>
    <x v="7"/>
    <x v="6"/>
    <x v="0"/>
    <n v="7"/>
    <n v="12694"/>
    <n v="15"/>
    <x v="0"/>
    <n v="75529.3"/>
  </r>
  <r>
    <s v="ORD1759"/>
    <x v="200"/>
    <x v="3"/>
    <x v="7"/>
    <x v="0"/>
    <x v="2"/>
    <n v="9"/>
    <n v="43302"/>
    <n v="20"/>
    <x v="3"/>
    <n v="311774.40000000002"/>
  </r>
  <r>
    <s v="ORD1760"/>
    <x v="155"/>
    <x v="1"/>
    <x v="2"/>
    <x v="7"/>
    <x v="2"/>
    <n v="10"/>
    <n v="33247"/>
    <n v="10"/>
    <x v="1"/>
    <n v="299223"/>
  </r>
  <r>
    <s v="ORD1761"/>
    <x v="155"/>
    <x v="3"/>
    <x v="4"/>
    <x v="7"/>
    <x v="0"/>
    <n v="4"/>
    <n v="8106"/>
    <n v="10"/>
    <x v="2"/>
    <n v="29181.599999999999"/>
  </r>
  <r>
    <s v="ORD1762"/>
    <x v="122"/>
    <x v="0"/>
    <x v="1"/>
    <x v="0"/>
    <x v="2"/>
    <n v="7"/>
    <n v="10428"/>
    <n v="10"/>
    <x v="2"/>
    <n v="65696.400000000009"/>
  </r>
  <r>
    <s v="ORD1763"/>
    <x v="66"/>
    <x v="0"/>
    <x v="1"/>
    <x v="0"/>
    <x v="0"/>
    <n v="4"/>
    <n v="36430"/>
    <n v="0"/>
    <x v="4"/>
    <n v="145720"/>
  </r>
  <r>
    <s v="ORD1764"/>
    <x v="159"/>
    <x v="0"/>
    <x v="7"/>
    <x v="1"/>
    <x v="1"/>
    <n v="10"/>
    <n v="29262"/>
    <n v="0"/>
    <x v="3"/>
    <n v="292620"/>
  </r>
  <r>
    <s v="ORD1765"/>
    <x v="192"/>
    <x v="0"/>
    <x v="7"/>
    <x v="3"/>
    <x v="2"/>
    <n v="3"/>
    <n v="15312"/>
    <n v="20"/>
    <x v="1"/>
    <n v="36748.800000000003"/>
  </r>
  <r>
    <s v="ORD1766"/>
    <x v="208"/>
    <x v="3"/>
    <x v="0"/>
    <x v="8"/>
    <x v="0"/>
    <n v="7"/>
    <n v="41236"/>
    <n v="0"/>
    <x v="0"/>
    <n v="288652"/>
  </r>
  <r>
    <s v="ORD1767"/>
    <x v="20"/>
    <x v="2"/>
    <x v="2"/>
    <x v="4"/>
    <x v="2"/>
    <n v="5"/>
    <n v="43161"/>
    <n v="5"/>
    <x v="0"/>
    <n v="205014.75"/>
  </r>
  <r>
    <s v="ORD1768"/>
    <x v="159"/>
    <x v="0"/>
    <x v="5"/>
    <x v="2"/>
    <x v="1"/>
    <n v="10"/>
    <n v="7963"/>
    <n v="10"/>
    <x v="2"/>
    <n v="71667"/>
  </r>
  <r>
    <s v="ORD1769"/>
    <x v="293"/>
    <x v="0"/>
    <x v="1"/>
    <x v="6"/>
    <x v="1"/>
    <n v="6"/>
    <n v="29939"/>
    <n v="10"/>
    <x v="2"/>
    <n v="161670.6"/>
  </r>
  <r>
    <s v="ORD1770"/>
    <x v="8"/>
    <x v="3"/>
    <x v="2"/>
    <x v="5"/>
    <x v="1"/>
    <n v="8"/>
    <n v="47884"/>
    <n v="20"/>
    <x v="3"/>
    <n v="306457.59999999998"/>
  </r>
  <r>
    <s v="ORD1771"/>
    <x v="322"/>
    <x v="3"/>
    <x v="5"/>
    <x v="3"/>
    <x v="0"/>
    <n v="9"/>
    <n v="17973"/>
    <n v="0"/>
    <x v="1"/>
    <n v="161757"/>
  </r>
  <r>
    <s v="ORD1772"/>
    <x v="323"/>
    <x v="1"/>
    <x v="5"/>
    <x v="8"/>
    <x v="0"/>
    <n v="3"/>
    <n v="7769"/>
    <n v="10"/>
    <x v="1"/>
    <n v="20976.3"/>
  </r>
  <r>
    <s v="ORD1773"/>
    <x v="22"/>
    <x v="0"/>
    <x v="5"/>
    <x v="4"/>
    <x v="1"/>
    <n v="4"/>
    <n v="3284"/>
    <n v="15"/>
    <x v="4"/>
    <n v="11165.6"/>
  </r>
  <r>
    <s v="ORD1774"/>
    <x v="195"/>
    <x v="1"/>
    <x v="6"/>
    <x v="7"/>
    <x v="2"/>
    <n v="3"/>
    <n v="5778"/>
    <n v="0"/>
    <x v="0"/>
    <n v="17334"/>
  </r>
  <r>
    <s v="ORD1775"/>
    <x v="315"/>
    <x v="0"/>
    <x v="1"/>
    <x v="3"/>
    <x v="2"/>
    <n v="10"/>
    <n v="5614"/>
    <n v="15"/>
    <x v="1"/>
    <n v="47719"/>
  </r>
  <r>
    <s v="ORD1776"/>
    <x v="156"/>
    <x v="2"/>
    <x v="4"/>
    <x v="3"/>
    <x v="1"/>
    <n v="9"/>
    <n v="38443"/>
    <n v="10"/>
    <x v="1"/>
    <n v="311388.3"/>
  </r>
  <r>
    <s v="ORD1777"/>
    <x v="51"/>
    <x v="3"/>
    <x v="0"/>
    <x v="9"/>
    <x v="1"/>
    <n v="4"/>
    <n v="48680"/>
    <n v="10"/>
    <x v="3"/>
    <n v="175248"/>
  </r>
  <r>
    <s v="ORD1778"/>
    <x v="179"/>
    <x v="3"/>
    <x v="5"/>
    <x v="6"/>
    <x v="2"/>
    <n v="3"/>
    <n v="17423"/>
    <n v="15"/>
    <x v="3"/>
    <n v="44428.65"/>
  </r>
  <r>
    <s v="ORD1779"/>
    <x v="7"/>
    <x v="1"/>
    <x v="1"/>
    <x v="5"/>
    <x v="1"/>
    <n v="5"/>
    <n v="30221"/>
    <n v="10"/>
    <x v="4"/>
    <n v="135994.5"/>
  </r>
  <r>
    <s v="ORD1780"/>
    <x v="204"/>
    <x v="1"/>
    <x v="1"/>
    <x v="6"/>
    <x v="2"/>
    <n v="9"/>
    <n v="2229"/>
    <n v="0"/>
    <x v="0"/>
    <n v="20061"/>
  </r>
  <r>
    <s v="ORD1781"/>
    <x v="234"/>
    <x v="3"/>
    <x v="7"/>
    <x v="1"/>
    <x v="1"/>
    <n v="3"/>
    <n v="33617"/>
    <n v="5"/>
    <x v="4"/>
    <n v="95808.45"/>
  </r>
  <r>
    <s v="ORD1782"/>
    <x v="82"/>
    <x v="3"/>
    <x v="1"/>
    <x v="2"/>
    <x v="2"/>
    <n v="7"/>
    <n v="10755"/>
    <n v="5"/>
    <x v="3"/>
    <n v="71520.75"/>
  </r>
  <r>
    <s v="ORD1783"/>
    <x v="324"/>
    <x v="3"/>
    <x v="2"/>
    <x v="8"/>
    <x v="1"/>
    <n v="3"/>
    <n v="43786"/>
    <n v="5"/>
    <x v="0"/>
    <n v="124790.1"/>
  </r>
  <r>
    <s v="ORD1784"/>
    <x v="163"/>
    <x v="0"/>
    <x v="7"/>
    <x v="1"/>
    <x v="2"/>
    <n v="10"/>
    <n v="42965"/>
    <n v="10"/>
    <x v="3"/>
    <n v="386685"/>
  </r>
  <r>
    <s v="ORD1785"/>
    <x v="222"/>
    <x v="0"/>
    <x v="4"/>
    <x v="9"/>
    <x v="1"/>
    <n v="3"/>
    <n v="1056"/>
    <n v="20"/>
    <x v="3"/>
    <n v="2534.4"/>
  </r>
  <r>
    <s v="ORD1786"/>
    <x v="256"/>
    <x v="2"/>
    <x v="3"/>
    <x v="1"/>
    <x v="0"/>
    <n v="6"/>
    <n v="3479"/>
    <n v="0"/>
    <x v="4"/>
    <n v="20874"/>
  </r>
  <r>
    <s v="ORD1787"/>
    <x v="325"/>
    <x v="0"/>
    <x v="1"/>
    <x v="0"/>
    <x v="1"/>
    <n v="2"/>
    <n v="44555"/>
    <n v="0"/>
    <x v="2"/>
    <n v="89110"/>
  </r>
  <r>
    <s v="ORD1788"/>
    <x v="148"/>
    <x v="3"/>
    <x v="5"/>
    <x v="8"/>
    <x v="2"/>
    <n v="9"/>
    <n v="26590"/>
    <n v="10"/>
    <x v="2"/>
    <n v="215379"/>
  </r>
  <r>
    <s v="ORD1789"/>
    <x v="102"/>
    <x v="0"/>
    <x v="4"/>
    <x v="2"/>
    <x v="2"/>
    <n v="9"/>
    <n v="18461"/>
    <n v="0"/>
    <x v="4"/>
    <n v="166149"/>
  </r>
  <r>
    <s v="ORD1790"/>
    <x v="59"/>
    <x v="1"/>
    <x v="4"/>
    <x v="7"/>
    <x v="1"/>
    <n v="2"/>
    <n v="10935"/>
    <n v="10"/>
    <x v="3"/>
    <n v="19683"/>
  </r>
  <r>
    <s v="ORD1791"/>
    <x v="67"/>
    <x v="3"/>
    <x v="3"/>
    <x v="0"/>
    <x v="0"/>
    <n v="3"/>
    <n v="46878"/>
    <n v="5"/>
    <x v="3"/>
    <n v="133602.29999999999"/>
  </r>
  <r>
    <s v="ORD1792"/>
    <x v="57"/>
    <x v="0"/>
    <x v="6"/>
    <x v="0"/>
    <x v="1"/>
    <n v="6"/>
    <n v="22615"/>
    <n v="0"/>
    <x v="3"/>
    <n v="135690"/>
  </r>
  <r>
    <s v="ORD1793"/>
    <x v="129"/>
    <x v="3"/>
    <x v="6"/>
    <x v="8"/>
    <x v="2"/>
    <n v="3"/>
    <n v="26646"/>
    <n v="20"/>
    <x v="2"/>
    <n v="63950.400000000001"/>
  </r>
  <r>
    <s v="ORD1794"/>
    <x v="73"/>
    <x v="1"/>
    <x v="4"/>
    <x v="0"/>
    <x v="2"/>
    <n v="1"/>
    <n v="38659"/>
    <n v="10"/>
    <x v="0"/>
    <n v="34793.1"/>
  </r>
  <r>
    <s v="ORD1795"/>
    <x v="33"/>
    <x v="1"/>
    <x v="5"/>
    <x v="7"/>
    <x v="1"/>
    <n v="6"/>
    <n v="1242"/>
    <n v="0"/>
    <x v="1"/>
    <n v="7452"/>
  </r>
  <r>
    <s v="ORD1796"/>
    <x v="326"/>
    <x v="0"/>
    <x v="2"/>
    <x v="5"/>
    <x v="1"/>
    <n v="7"/>
    <n v="34776"/>
    <n v="15"/>
    <x v="4"/>
    <n v="206917.2"/>
  </r>
  <r>
    <s v="ORD1797"/>
    <x v="279"/>
    <x v="3"/>
    <x v="3"/>
    <x v="6"/>
    <x v="1"/>
    <n v="7"/>
    <n v="47373"/>
    <n v="15"/>
    <x v="4"/>
    <n v="281869.34999999998"/>
  </r>
  <r>
    <s v="ORD1798"/>
    <x v="140"/>
    <x v="2"/>
    <x v="3"/>
    <x v="8"/>
    <x v="2"/>
    <n v="5"/>
    <n v="33157"/>
    <n v="20"/>
    <x v="3"/>
    <n v="132628"/>
  </r>
  <r>
    <s v="ORD1799"/>
    <x v="130"/>
    <x v="1"/>
    <x v="2"/>
    <x v="4"/>
    <x v="1"/>
    <n v="8"/>
    <n v="32335"/>
    <n v="20"/>
    <x v="3"/>
    <n v="206944"/>
  </r>
  <r>
    <s v="ORD1800"/>
    <x v="327"/>
    <x v="2"/>
    <x v="0"/>
    <x v="1"/>
    <x v="2"/>
    <n v="5"/>
    <n v="29577"/>
    <n v="15"/>
    <x v="2"/>
    <n v="125702.25"/>
  </r>
  <r>
    <s v="ORD1801"/>
    <x v="53"/>
    <x v="0"/>
    <x v="6"/>
    <x v="7"/>
    <x v="1"/>
    <n v="3"/>
    <n v="27470"/>
    <n v="10"/>
    <x v="3"/>
    <n v="74169"/>
  </r>
  <r>
    <s v="ORD1802"/>
    <x v="64"/>
    <x v="1"/>
    <x v="3"/>
    <x v="2"/>
    <x v="2"/>
    <n v="4"/>
    <n v="48694"/>
    <n v="0"/>
    <x v="0"/>
    <n v="194776"/>
  </r>
  <r>
    <s v="ORD1803"/>
    <x v="44"/>
    <x v="2"/>
    <x v="2"/>
    <x v="3"/>
    <x v="0"/>
    <n v="2"/>
    <n v="5594"/>
    <n v="15"/>
    <x v="4"/>
    <n v="9509.7999999999993"/>
  </r>
  <r>
    <s v="ORD1804"/>
    <x v="167"/>
    <x v="1"/>
    <x v="6"/>
    <x v="6"/>
    <x v="2"/>
    <n v="3"/>
    <n v="36397"/>
    <n v="20"/>
    <x v="1"/>
    <n v="87352.8"/>
  </r>
  <r>
    <s v="ORD1805"/>
    <x v="111"/>
    <x v="2"/>
    <x v="4"/>
    <x v="5"/>
    <x v="0"/>
    <n v="3"/>
    <n v="15801"/>
    <n v="0"/>
    <x v="3"/>
    <n v="47403"/>
  </r>
  <r>
    <s v="ORD1806"/>
    <x v="124"/>
    <x v="3"/>
    <x v="7"/>
    <x v="7"/>
    <x v="2"/>
    <n v="1"/>
    <n v="1216"/>
    <n v="10"/>
    <x v="0"/>
    <n v="1094.4000000000001"/>
  </r>
  <r>
    <s v="ORD1807"/>
    <x v="258"/>
    <x v="3"/>
    <x v="4"/>
    <x v="5"/>
    <x v="0"/>
    <n v="10"/>
    <n v="26193"/>
    <n v="15"/>
    <x v="1"/>
    <n v="222640.5"/>
  </r>
  <r>
    <s v="ORD1808"/>
    <x v="223"/>
    <x v="0"/>
    <x v="7"/>
    <x v="7"/>
    <x v="1"/>
    <n v="10"/>
    <n v="46171"/>
    <n v="20"/>
    <x v="2"/>
    <n v="369368"/>
  </r>
  <r>
    <s v="ORD1809"/>
    <x v="198"/>
    <x v="1"/>
    <x v="3"/>
    <x v="4"/>
    <x v="2"/>
    <n v="5"/>
    <n v="32592"/>
    <n v="15"/>
    <x v="1"/>
    <n v="138516"/>
  </r>
  <r>
    <s v="ORD1810"/>
    <x v="79"/>
    <x v="2"/>
    <x v="5"/>
    <x v="7"/>
    <x v="0"/>
    <n v="10"/>
    <n v="8943"/>
    <n v="10"/>
    <x v="4"/>
    <n v="80487"/>
  </r>
  <r>
    <s v="ORD1811"/>
    <x v="281"/>
    <x v="0"/>
    <x v="2"/>
    <x v="7"/>
    <x v="0"/>
    <n v="10"/>
    <n v="38174"/>
    <n v="20"/>
    <x v="0"/>
    <n v="305392"/>
  </r>
  <r>
    <s v="ORD1812"/>
    <x v="99"/>
    <x v="3"/>
    <x v="5"/>
    <x v="4"/>
    <x v="0"/>
    <n v="10"/>
    <n v="36081"/>
    <n v="0"/>
    <x v="4"/>
    <n v="360810"/>
  </r>
  <r>
    <s v="ORD1813"/>
    <x v="328"/>
    <x v="3"/>
    <x v="2"/>
    <x v="2"/>
    <x v="2"/>
    <n v="4"/>
    <n v="24522"/>
    <n v="15"/>
    <x v="1"/>
    <n v="83374.8"/>
  </r>
  <r>
    <s v="ORD1814"/>
    <x v="286"/>
    <x v="0"/>
    <x v="1"/>
    <x v="9"/>
    <x v="1"/>
    <n v="10"/>
    <n v="22852"/>
    <n v="0"/>
    <x v="4"/>
    <n v="228520"/>
  </r>
  <r>
    <s v="ORD1815"/>
    <x v="269"/>
    <x v="1"/>
    <x v="3"/>
    <x v="2"/>
    <x v="1"/>
    <n v="4"/>
    <n v="45684"/>
    <n v="5"/>
    <x v="1"/>
    <n v="173599.2"/>
  </r>
  <r>
    <s v="ORD1816"/>
    <x v="315"/>
    <x v="2"/>
    <x v="2"/>
    <x v="4"/>
    <x v="2"/>
    <n v="4"/>
    <n v="20846"/>
    <n v="10"/>
    <x v="2"/>
    <n v="75045.600000000006"/>
  </r>
  <r>
    <s v="ORD1817"/>
    <x v="88"/>
    <x v="3"/>
    <x v="0"/>
    <x v="6"/>
    <x v="2"/>
    <n v="1"/>
    <n v="27254"/>
    <n v="15"/>
    <x v="4"/>
    <n v="23165.9"/>
  </r>
  <r>
    <s v="ORD1818"/>
    <x v="139"/>
    <x v="0"/>
    <x v="0"/>
    <x v="3"/>
    <x v="2"/>
    <n v="6"/>
    <n v="4617"/>
    <n v="20"/>
    <x v="4"/>
    <n v="22161.599999999999"/>
  </r>
  <r>
    <s v="ORD1819"/>
    <x v="4"/>
    <x v="3"/>
    <x v="6"/>
    <x v="9"/>
    <x v="2"/>
    <n v="2"/>
    <n v="42436"/>
    <n v="10"/>
    <x v="4"/>
    <n v="76384.800000000003"/>
  </r>
  <r>
    <s v="ORD1820"/>
    <x v="10"/>
    <x v="3"/>
    <x v="3"/>
    <x v="8"/>
    <x v="2"/>
    <n v="8"/>
    <n v="43406"/>
    <n v="5"/>
    <x v="1"/>
    <n v="329885.59999999998"/>
  </r>
  <r>
    <s v="ORD1821"/>
    <x v="29"/>
    <x v="2"/>
    <x v="0"/>
    <x v="0"/>
    <x v="0"/>
    <n v="3"/>
    <n v="6941"/>
    <n v="20"/>
    <x v="4"/>
    <n v="16658.400000000001"/>
  </r>
  <r>
    <s v="ORD1822"/>
    <x v="304"/>
    <x v="1"/>
    <x v="6"/>
    <x v="7"/>
    <x v="0"/>
    <n v="9"/>
    <n v="24943"/>
    <n v="10"/>
    <x v="4"/>
    <n v="202038.3"/>
  </r>
  <r>
    <s v="ORD1823"/>
    <x v="179"/>
    <x v="1"/>
    <x v="1"/>
    <x v="3"/>
    <x v="1"/>
    <n v="10"/>
    <n v="36037"/>
    <n v="10"/>
    <x v="2"/>
    <n v="324333"/>
  </r>
  <r>
    <s v="ORD1824"/>
    <x v="300"/>
    <x v="2"/>
    <x v="3"/>
    <x v="2"/>
    <x v="2"/>
    <n v="8"/>
    <n v="23286"/>
    <n v="15"/>
    <x v="3"/>
    <n v="158344.79999999999"/>
  </r>
  <r>
    <s v="ORD1825"/>
    <x v="218"/>
    <x v="0"/>
    <x v="3"/>
    <x v="4"/>
    <x v="0"/>
    <n v="6"/>
    <n v="6272"/>
    <n v="5"/>
    <x v="4"/>
    <n v="35750.400000000001"/>
  </r>
  <r>
    <s v="ORD1826"/>
    <x v="289"/>
    <x v="0"/>
    <x v="0"/>
    <x v="6"/>
    <x v="0"/>
    <n v="3"/>
    <n v="31122"/>
    <n v="15"/>
    <x v="1"/>
    <n v="79361.099999999991"/>
  </r>
  <r>
    <s v="ORD1827"/>
    <x v="174"/>
    <x v="1"/>
    <x v="4"/>
    <x v="3"/>
    <x v="0"/>
    <n v="7"/>
    <n v="20002"/>
    <n v="0"/>
    <x v="1"/>
    <n v="140014"/>
  </r>
  <r>
    <s v="ORD1828"/>
    <x v="37"/>
    <x v="3"/>
    <x v="7"/>
    <x v="5"/>
    <x v="1"/>
    <n v="8"/>
    <n v="43453"/>
    <n v="20"/>
    <x v="4"/>
    <n v="278099.20000000001"/>
  </r>
  <r>
    <s v="ORD1829"/>
    <x v="36"/>
    <x v="3"/>
    <x v="1"/>
    <x v="5"/>
    <x v="2"/>
    <n v="8"/>
    <n v="14311"/>
    <n v="5"/>
    <x v="2"/>
    <n v="108763.6"/>
  </r>
  <r>
    <s v="ORD1830"/>
    <x v="267"/>
    <x v="0"/>
    <x v="5"/>
    <x v="8"/>
    <x v="1"/>
    <n v="3"/>
    <n v="12574"/>
    <n v="10"/>
    <x v="1"/>
    <n v="33949.800000000003"/>
  </r>
  <r>
    <s v="ORD1831"/>
    <x v="296"/>
    <x v="2"/>
    <x v="1"/>
    <x v="2"/>
    <x v="0"/>
    <n v="3"/>
    <n v="37338"/>
    <n v="10"/>
    <x v="0"/>
    <n v="100812.6"/>
  </r>
  <r>
    <s v="ORD1832"/>
    <x v="83"/>
    <x v="3"/>
    <x v="5"/>
    <x v="4"/>
    <x v="0"/>
    <n v="4"/>
    <n v="3577"/>
    <n v="0"/>
    <x v="2"/>
    <n v="14308"/>
  </r>
  <r>
    <s v="ORD1833"/>
    <x v="194"/>
    <x v="0"/>
    <x v="6"/>
    <x v="6"/>
    <x v="1"/>
    <n v="4"/>
    <n v="26176"/>
    <n v="10"/>
    <x v="2"/>
    <n v="94233.600000000006"/>
  </r>
  <r>
    <s v="ORD1834"/>
    <x v="206"/>
    <x v="2"/>
    <x v="2"/>
    <x v="5"/>
    <x v="0"/>
    <n v="1"/>
    <n v="44301"/>
    <n v="20"/>
    <x v="4"/>
    <n v="35440.800000000003"/>
  </r>
  <r>
    <s v="ORD1835"/>
    <x v="90"/>
    <x v="1"/>
    <x v="5"/>
    <x v="4"/>
    <x v="1"/>
    <n v="7"/>
    <n v="13517"/>
    <n v="15"/>
    <x v="3"/>
    <n v="80426.149999999994"/>
  </r>
  <r>
    <s v="ORD1836"/>
    <x v="68"/>
    <x v="2"/>
    <x v="6"/>
    <x v="3"/>
    <x v="0"/>
    <n v="1"/>
    <n v="20586"/>
    <n v="5"/>
    <x v="1"/>
    <n v="19556.7"/>
  </r>
  <r>
    <s v="ORD1837"/>
    <x v="305"/>
    <x v="1"/>
    <x v="2"/>
    <x v="4"/>
    <x v="2"/>
    <n v="5"/>
    <n v="46605"/>
    <n v="20"/>
    <x v="4"/>
    <n v="186420"/>
  </r>
  <r>
    <s v="ORD1838"/>
    <x v="33"/>
    <x v="0"/>
    <x v="1"/>
    <x v="4"/>
    <x v="0"/>
    <n v="7"/>
    <n v="26565"/>
    <n v="0"/>
    <x v="4"/>
    <n v="185955"/>
  </r>
  <r>
    <s v="ORD1839"/>
    <x v="329"/>
    <x v="2"/>
    <x v="0"/>
    <x v="9"/>
    <x v="2"/>
    <n v="4"/>
    <n v="7997"/>
    <n v="20"/>
    <x v="0"/>
    <n v="25590.400000000001"/>
  </r>
  <r>
    <s v="ORD1840"/>
    <x v="113"/>
    <x v="0"/>
    <x v="4"/>
    <x v="0"/>
    <x v="1"/>
    <n v="4"/>
    <n v="42328"/>
    <n v="0"/>
    <x v="3"/>
    <n v="169312"/>
  </r>
  <r>
    <s v="ORD1841"/>
    <x v="24"/>
    <x v="1"/>
    <x v="5"/>
    <x v="5"/>
    <x v="1"/>
    <n v="4"/>
    <n v="46143"/>
    <n v="20"/>
    <x v="4"/>
    <n v="147657.60000000001"/>
  </r>
  <r>
    <s v="ORD1842"/>
    <x v="247"/>
    <x v="3"/>
    <x v="7"/>
    <x v="0"/>
    <x v="2"/>
    <n v="2"/>
    <n v="24544"/>
    <n v="10"/>
    <x v="1"/>
    <n v="44179.199999999997"/>
  </r>
  <r>
    <s v="ORD1843"/>
    <x v="205"/>
    <x v="3"/>
    <x v="4"/>
    <x v="3"/>
    <x v="2"/>
    <n v="3"/>
    <n v="32883"/>
    <n v="10"/>
    <x v="3"/>
    <n v="88784.1"/>
  </r>
  <r>
    <s v="ORD1844"/>
    <x v="121"/>
    <x v="1"/>
    <x v="6"/>
    <x v="6"/>
    <x v="2"/>
    <n v="8"/>
    <n v="6561"/>
    <n v="0"/>
    <x v="1"/>
    <n v="52488"/>
  </r>
  <r>
    <s v="ORD1845"/>
    <x v="161"/>
    <x v="3"/>
    <x v="6"/>
    <x v="0"/>
    <x v="1"/>
    <n v="10"/>
    <n v="42470"/>
    <n v="20"/>
    <x v="0"/>
    <n v="339760"/>
  </r>
  <r>
    <s v="ORD1846"/>
    <x v="181"/>
    <x v="3"/>
    <x v="0"/>
    <x v="1"/>
    <x v="2"/>
    <n v="8"/>
    <n v="29703"/>
    <n v="20"/>
    <x v="3"/>
    <n v="190099.20000000001"/>
  </r>
  <r>
    <s v="ORD1847"/>
    <x v="146"/>
    <x v="2"/>
    <x v="7"/>
    <x v="2"/>
    <x v="2"/>
    <n v="6"/>
    <n v="49190"/>
    <n v="15"/>
    <x v="2"/>
    <n v="250869"/>
  </r>
  <r>
    <s v="ORD1848"/>
    <x v="145"/>
    <x v="2"/>
    <x v="3"/>
    <x v="3"/>
    <x v="0"/>
    <n v="8"/>
    <n v="13416"/>
    <n v="15"/>
    <x v="3"/>
    <n v="91228.800000000003"/>
  </r>
  <r>
    <s v="ORD1849"/>
    <x v="180"/>
    <x v="3"/>
    <x v="6"/>
    <x v="8"/>
    <x v="0"/>
    <n v="4"/>
    <n v="10171"/>
    <n v="5"/>
    <x v="1"/>
    <n v="38649.800000000003"/>
  </r>
  <r>
    <s v="ORD1850"/>
    <x v="140"/>
    <x v="2"/>
    <x v="1"/>
    <x v="7"/>
    <x v="2"/>
    <n v="7"/>
    <n v="3339"/>
    <n v="10"/>
    <x v="4"/>
    <n v="21035.7"/>
  </r>
  <r>
    <s v="ORD1851"/>
    <x v="205"/>
    <x v="1"/>
    <x v="7"/>
    <x v="6"/>
    <x v="1"/>
    <n v="7"/>
    <n v="13654"/>
    <n v="0"/>
    <x v="0"/>
    <n v="95578"/>
  </r>
  <r>
    <s v="ORD1852"/>
    <x v="145"/>
    <x v="2"/>
    <x v="3"/>
    <x v="9"/>
    <x v="1"/>
    <n v="1"/>
    <n v="2662"/>
    <n v="10"/>
    <x v="3"/>
    <n v="2395.8000000000002"/>
  </r>
  <r>
    <s v="ORD1853"/>
    <x v="156"/>
    <x v="2"/>
    <x v="0"/>
    <x v="0"/>
    <x v="0"/>
    <n v="10"/>
    <n v="48168"/>
    <n v="20"/>
    <x v="0"/>
    <n v="385344"/>
  </r>
  <r>
    <s v="ORD1854"/>
    <x v="152"/>
    <x v="2"/>
    <x v="0"/>
    <x v="9"/>
    <x v="0"/>
    <n v="7"/>
    <n v="39859"/>
    <n v="10"/>
    <x v="1"/>
    <n v="251111.7"/>
  </r>
  <r>
    <s v="ORD1855"/>
    <x v="188"/>
    <x v="0"/>
    <x v="2"/>
    <x v="1"/>
    <x v="2"/>
    <n v="6"/>
    <n v="16629"/>
    <n v="15"/>
    <x v="1"/>
    <n v="84807.9"/>
  </r>
  <r>
    <s v="ORD1856"/>
    <x v="330"/>
    <x v="1"/>
    <x v="6"/>
    <x v="0"/>
    <x v="2"/>
    <n v="7"/>
    <n v="33062"/>
    <n v="20"/>
    <x v="1"/>
    <n v="185147.2"/>
  </r>
  <r>
    <s v="ORD1857"/>
    <x v="331"/>
    <x v="3"/>
    <x v="4"/>
    <x v="7"/>
    <x v="1"/>
    <n v="10"/>
    <n v="26478"/>
    <n v="10"/>
    <x v="4"/>
    <n v="238302"/>
  </r>
  <r>
    <s v="ORD1858"/>
    <x v="27"/>
    <x v="3"/>
    <x v="1"/>
    <x v="7"/>
    <x v="0"/>
    <n v="10"/>
    <n v="5128"/>
    <n v="5"/>
    <x v="2"/>
    <n v="48716"/>
  </r>
  <r>
    <s v="ORD1859"/>
    <x v="332"/>
    <x v="0"/>
    <x v="3"/>
    <x v="4"/>
    <x v="0"/>
    <n v="10"/>
    <n v="36425"/>
    <n v="15"/>
    <x v="0"/>
    <n v="309612.5"/>
  </r>
  <r>
    <s v="ORD1860"/>
    <x v="15"/>
    <x v="2"/>
    <x v="6"/>
    <x v="4"/>
    <x v="2"/>
    <n v="9"/>
    <n v="43166"/>
    <n v="15"/>
    <x v="2"/>
    <n v="330219.90000000002"/>
  </r>
  <r>
    <s v="ORD1861"/>
    <x v="50"/>
    <x v="1"/>
    <x v="7"/>
    <x v="5"/>
    <x v="2"/>
    <n v="9"/>
    <n v="21167"/>
    <n v="10"/>
    <x v="2"/>
    <n v="171452.7"/>
  </r>
  <r>
    <s v="ORD1862"/>
    <x v="262"/>
    <x v="1"/>
    <x v="4"/>
    <x v="9"/>
    <x v="2"/>
    <n v="1"/>
    <n v="33747"/>
    <n v="20"/>
    <x v="0"/>
    <n v="26997.599999999999"/>
  </r>
  <r>
    <s v="ORD1863"/>
    <x v="282"/>
    <x v="3"/>
    <x v="6"/>
    <x v="8"/>
    <x v="2"/>
    <n v="9"/>
    <n v="35992"/>
    <n v="20"/>
    <x v="1"/>
    <n v="259142.39999999999"/>
  </r>
  <r>
    <s v="ORD1864"/>
    <x v="333"/>
    <x v="0"/>
    <x v="6"/>
    <x v="4"/>
    <x v="0"/>
    <n v="2"/>
    <n v="30445"/>
    <n v="15"/>
    <x v="2"/>
    <n v="51756.5"/>
  </r>
  <r>
    <s v="ORD1865"/>
    <x v="179"/>
    <x v="0"/>
    <x v="6"/>
    <x v="6"/>
    <x v="2"/>
    <n v="8"/>
    <n v="2075"/>
    <n v="20"/>
    <x v="0"/>
    <n v="13280"/>
  </r>
  <r>
    <s v="ORD1866"/>
    <x v="264"/>
    <x v="0"/>
    <x v="2"/>
    <x v="4"/>
    <x v="0"/>
    <n v="8"/>
    <n v="3427"/>
    <n v="5"/>
    <x v="3"/>
    <n v="26045.200000000001"/>
  </r>
  <r>
    <s v="ORD1867"/>
    <x v="237"/>
    <x v="0"/>
    <x v="2"/>
    <x v="4"/>
    <x v="2"/>
    <n v="1"/>
    <n v="23235"/>
    <n v="0"/>
    <x v="2"/>
    <n v="23235"/>
  </r>
  <r>
    <s v="ORD1868"/>
    <x v="268"/>
    <x v="1"/>
    <x v="5"/>
    <x v="3"/>
    <x v="0"/>
    <n v="4"/>
    <n v="4673"/>
    <n v="20"/>
    <x v="1"/>
    <n v="14953.6"/>
  </r>
  <r>
    <s v="ORD1869"/>
    <x v="321"/>
    <x v="2"/>
    <x v="1"/>
    <x v="0"/>
    <x v="1"/>
    <n v="9"/>
    <n v="23132"/>
    <n v="5"/>
    <x v="4"/>
    <n v="197778.6"/>
  </r>
  <r>
    <s v="ORD1870"/>
    <x v="178"/>
    <x v="3"/>
    <x v="4"/>
    <x v="9"/>
    <x v="0"/>
    <n v="9"/>
    <n v="48252"/>
    <n v="20"/>
    <x v="0"/>
    <n v="347414.4"/>
  </r>
  <r>
    <s v="ORD1871"/>
    <x v="120"/>
    <x v="1"/>
    <x v="1"/>
    <x v="3"/>
    <x v="2"/>
    <n v="7"/>
    <n v="3805"/>
    <n v="15"/>
    <x v="2"/>
    <n v="22639.75"/>
  </r>
  <r>
    <s v="ORD1872"/>
    <x v="136"/>
    <x v="0"/>
    <x v="1"/>
    <x v="3"/>
    <x v="0"/>
    <n v="1"/>
    <n v="27575"/>
    <n v="5"/>
    <x v="1"/>
    <n v="26196.25"/>
  </r>
  <r>
    <s v="ORD1873"/>
    <x v="40"/>
    <x v="0"/>
    <x v="6"/>
    <x v="9"/>
    <x v="0"/>
    <n v="9"/>
    <n v="8745"/>
    <n v="15"/>
    <x v="1"/>
    <n v="66899.25"/>
  </r>
  <r>
    <s v="ORD1874"/>
    <x v="298"/>
    <x v="3"/>
    <x v="0"/>
    <x v="7"/>
    <x v="0"/>
    <n v="7"/>
    <n v="14872"/>
    <n v="10"/>
    <x v="0"/>
    <n v="93693.6"/>
  </r>
  <r>
    <s v="ORD1875"/>
    <x v="153"/>
    <x v="2"/>
    <x v="1"/>
    <x v="4"/>
    <x v="1"/>
    <n v="9"/>
    <n v="43850"/>
    <n v="20"/>
    <x v="3"/>
    <n v="315720"/>
  </r>
  <r>
    <s v="ORD1876"/>
    <x v="171"/>
    <x v="2"/>
    <x v="3"/>
    <x v="8"/>
    <x v="1"/>
    <n v="1"/>
    <n v="44733"/>
    <n v="20"/>
    <x v="1"/>
    <n v="35786.400000000001"/>
  </r>
  <r>
    <s v="ORD1877"/>
    <x v="313"/>
    <x v="2"/>
    <x v="2"/>
    <x v="7"/>
    <x v="1"/>
    <n v="4"/>
    <n v="35283"/>
    <n v="15"/>
    <x v="0"/>
    <n v="119962.2"/>
  </r>
  <r>
    <s v="ORD1878"/>
    <x v="24"/>
    <x v="0"/>
    <x v="7"/>
    <x v="3"/>
    <x v="2"/>
    <n v="5"/>
    <n v="31039"/>
    <n v="20"/>
    <x v="2"/>
    <n v="124156"/>
  </r>
  <r>
    <s v="ORD1879"/>
    <x v="63"/>
    <x v="1"/>
    <x v="1"/>
    <x v="1"/>
    <x v="1"/>
    <n v="8"/>
    <n v="45438"/>
    <n v="0"/>
    <x v="3"/>
    <n v="363504"/>
  </r>
  <r>
    <s v="ORD1880"/>
    <x v="79"/>
    <x v="1"/>
    <x v="4"/>
    <x v="1"/>
    <x v="1"/>
    <n v="7"/>
    <n v="36164"/>
    <n v="20"/>
    <x v="0"/>
    <n v="202518.39999999999"/>
  </r>
  <r>
    <s v="ORD1881"/>
    <x v="264"/>
    <x v="2"/>
    <x v="3"/>
    <x v="2"/>
    <x v="2"/>
    <n v="5"/>
    <n v="10761"/>
    <n v="5"/>
    <x v="0"/>
    <n v="51114.75"/>
  </r>
  <r>
    <s v="ORD1882"/>
    <x v="119"/>
    <x v="3"/>
    <x v="7"/>
    <x v="4"/>
    <x v="0"/>
    <n v="5"/>
    <n v="49565"/>
    <n v="10"/>
    <x v="3"/>
    <n v="223042.5"/>
  </r>
  <r>
    <s v="ORD1883"/>
    <x v="310"/>
    <x v="2"/>
    <x v="6"/>
    <x v="4"/>
    <x v="2"/>
    <n v="8"/>
    <n v="38968"/>
    <n v="15"/>
    <x v="1"/>
    <n v="264982.40000000002"/>
  </r>
  <r>
    <s v="ORD1884"/>
    <x v="163"/>
    <x v="2"/>
    <x v="6"/>
    <x v="7"/>
    <x v="0"/>
    <n v="3"/>
    <n v="16268"/>
    <n v="5"/>
    <x v="1"/>
    <n v="46363.8"/>
  </r>
  <r>
    <s v="ORD1885"/>
    <x v="55"/>
    <x v="3"/>
    <x v="1"/>
    <x v="7"/>
    <x v="2"/>
    <n v="7"/>
    <n v="5720"/>
    <n v="5"/>
    <x v="2"/>
    <n v="38038"/>
  </r>
  <r>
    <s v="ORD1886"/>
    <x v="86"/>
    <x v="2"/>
    <x v="6"/>
    <x v="8"/>
    <x v="2"/>
    <n v="5"/>
    <n v="3416"/>
    <n v="5"/>
    <x v="2"/>
    <n v="16226"/>
  </r>
  <r>
    <s v="ORD1887"/>
    <x v="163"/>
    <x v="3"/>
    <x v="4"/>
    <x v="8"/>
    <x v="0"/>
    <n v="10"/>
    <n v="49199"/>
    <n v="10"/>
    <x v="4"/>
    <n v="442791"/>
  </r>
  <r>
    <s v="ORD1888"/>
    <x v="45"/>
    <x v="3"/>
    <x v="2"/>
    <x v="1"/>
    <x v="0"/>
    <n v="1"/>
    <n v="10279"/>
    <n v="15"/>
    <x v="4"/>
    <n v="8737.15"/>
  </r>
  <r>
    <s v="ORD1889"/>
    <x v="156"/>
    <x v="1"/>
    <x v="4"/>
    <x v="1"/>
    <x v="2"/>
    <n v="9"/>
    <n v="33040"/>
    <n v="15"/>
    <x v="2"/>
    <n v="252756"/>
  </r>
  <r>
    <s v="ORD1890"/>
    <x v="334"/>
    <x v="3"/>
    <x v="2"/>
    <x v="9"/>
    <x v="1"/>
    <n v="3"/>
    <n v="43849"/>
    <n v="10"/>
    <x v="3"/>
    <n v="118392.3"/>
  </r>
  <r>
    <s v="ORD1891"/>
    <x v="55"/>
    <x v="2"/>
    <x v="1"/>
    <x v="5"/>
    <x v="2"/>
    <n v="8"/>
    <n v="2249"/>
    <n v="0"/>
    <x v="4"/>
    <n v="17992"/>
  </r>
  <r>
    <s v="ORD1892"/>
    <x v="35"/>
    <x v="3"/>
    <x v="7"/>
    <x v="3"/>
    <x v="2"/>
    <n v="8"/>
    <n v="31881"/>
    <n v="5"/>
    <x v="4"/>
    <n v="242295.6"/>
  </r>
  <r>
    <s v="ORD1893"/>
    <x v="328"/>
    <x v="2"/>
    <x v="5"/>
    <x v="4"/>
    <x v="2"/>
    <n v="2"/>
    <n v="41525"/>
    <n v="15"/>
    <x v="3"/>
    <n v="70592.5"/>
  </r>
  <r>
    <s v="ORD1894"/>
    <x v="247"/>
    <x v="3"/>
    <x v="6"/>
    <x v="1"/>
    <x v="1"/>
    <n v="9"/>
    <n v="4001"/>
    <n v="10"/>
    <x v="1"/>
    <n v="32408.1"/>
  </r>
  <r>
    <s v="ORD1895"/>
    <x v="28"/>
    <x v="1"/>
    <x v="7"/>
    <x v="1"/>
    <x v="1"/>
    <n v="2"/>
    <n v="16904"/>
    <n v="10"/>
    <x v="0"/>
    <n v="30427.200000000001"/>
  </r>
  <r>
    <s v="ORD1896"/>
    <x v="335"/>
    <x v="2"/>
    <x v="5"/>
    <x v="8"/>
    <x v="1"/>
    <n v="3"/>
    <n v="46960"/>
    <n v="5"/>
    <x v="1"/>
    <n v="133836"/>
  </r>
  <r>
    <s v="ORD1897"/>
    <x v="113"/>
    <x v="2"/>
    <x v="0"/>
    <x v="4"/>
    <x v="0"/>
    <n v="10"/>
    <n v="43518"/>
    <n v="10"/>
    <x v="0"/>
    <n v="391662"/>
  </r>
  <r>
    <s v="ORD1898"/>
    <x v="242"/>
    <x v="2"/>
    <x v="5"/>
    <x v="2"/>
    <x v="2"/>
    <n v="9"/>
    <n v="9554"/>
    <n v="20"/>
    <x v="3"/>
    <n v="68788.800000000003"/>
  </r>
  <r>
    <s v="ORD1899"/>
    <x v="62"/>
    <x v="3"/>
    <x v="7"/>
    <x v="2"/>
    <x v="0"/>
    <n v="3"/>
    <n v="1941"/>
    <n v="5"/>
    <x v="4"/>
    <n v="5531.8499999999995"/>
  </r>
  <r>
    <s v="ORD1900"/>
    <x v="294"/>
    <x v="1"/>
    <x v="7"/>
    <x v="9"/>
    <x v="1"/>
    <n v="7"/>
    <n v="12288"/>
    <n v="15"/>
    <x v="3"/>
    <n v="73113.599999999991"/>
  </r>
  <r>
    <s v="ORD1901"/>
    <x v="207"/>
    <x v="1"/>
    <x v="4"/>
    <x v="3"/>
    <x v="1"/>
    <n v="7"/>
    <n v="42462"/>
    <n v="5"/>
    <x v="1"/>
    <n v="282372.3"/>
  </r>
  <r>
    <s v="ORD1902"/>
    <x v="60"/>
    <x v="1"/>
    <x v="5"/>
    <x v="2"/>
    <x v="2"/>
    <n v="6"/>
    <n v="4274"/>
    <n v="0"/>
    <x v="3"/>
    <n v="25644"/>
  </r>
  <r>
    <s v="ORD1903"/>
    <x v="336"/>
    <x v="1"/>
    <x v="0"/>
    <x v="9"/>
    <x v="0"/>
    <n v="8"/>
    <n v="21141"/>
    <n v="5"/>
    <x v="1"/>
    <n v="160671.6"/>
  </r>
  <r>
    <s v="ORD1904"/>
    <x v="128"/>
    <x v="3"/>
    <x v="7"/>
    <x v="2"/>
    <x v="1"/>
    <n v="1"/>
    <n v="7376"/>
    <n v="5"/>
    <x v="3"/>
    <n v="7007.2"/>
  </r>
  <r>
    <s v="ORD1905"/>
    <x v="234"/>
    <x v="2"/>
    <x v="3"/>
    <x v="8"/>
    <x v="0"/>
    <n v="3"/>
    <n v="30896"/>
    <n v="0"/>
    <x v="2"/>
    <n v="92688"/>
  </r>
  <r>
    <s v="ORD1906"/>
    <x v="199"/>
    <x v="0"/>
    <x v="4"/>
    <x v="4"/>
    <x v="1"/>
    <n v="8"/>
    <n v="41057"/>
    <n v="5"/>
    <x v="1"/>
    <n v="312033.2"/>
  </r>
  <r>
    <s v="ORD1907"/>
    <x v="167"/>
    <x v="1"/>
    <x v="6"/>
    <x v="8"/>
    <x v="2"/>
    <n v="10"/>
    <n v="12186"/>
    <n v="10"/>
    <x v="0"/>
    <n v="109674"/>
  </r>
  <r>
    <s v="ORD1908"/>
    <x v="77"/>
    <x v="0"/>
    <x v="7"/>
    <x v="7"/>
    <x v="0"/>
    <n v="4"/>
    <n v="39734"/>
    <n v="15"/>
    <x v="4"/>
    <n v="135095.6"/>
  </r>
  <r>
    <s v="ORD1909"/>
    <x v="149"/>
    <x v="3"/>
    <x v="3"/>
    <x v="8"/>
    <x v="2"/>
    <n v="8"/>
    <n v="5191"/>
    <n v="15"/>
    <x v="4"/>
    <n v="35298.800000000003"/>
  </r>
  <r>
    <s v="ORD1910"/>
    <x v="3"/>
    <x v="3"/>
    <x v="6"/>
    <x v="4"/>
    <x v="0"/>
    <n v="2"/>
    <n v="7968"/>
    <n v="20"/>
    <x v="1"/>
    <n v="12748.8"/>
  </r>
  <r>
    <s v="ORD1911"/>
    <x v="58"/>
    <x v="0"/>
    <x v="0"/>
    <x v="2"/>
    <x v="2"/>
    <n v="5"/>
    <n v="8482"/>
    <n v="15"/>
    <x v="2"/>
    <n v="36048.5"/>
  </r>
  <r>
    <s v="ORD1912"/>
    <x v="185"/>
    <x v="2"/>
    <x v="2"/>
    <x v="5"/>
    <x v="1"/>
    <n v="6"/>
    <n v="33580"/>
    <n v="15"/>
    <x v="4"/>
    <n v="171258"/>
  </r>
  <r>
    <s v="ORD1913"/>
    <x v="120"/>
    <x v="0"/>
    <x v="2"/>
    <x v="9"/>
    <x v="1"/>
    <n v="3"/>
    <n v="39992"/>
    <n v="0"/>
    <x v="2"/>
    <n v="119976"/>
  </r>
  <r>
    <s v="ORD1914"/>
    <x v="337"/>
    <x v="3"/>
    <x v="1"/>
    <x v="5"/>
    <x v="0"/>
    <n v="2"/>
    <n v="41345"/>
    <n v="5"/>
    <x v="0"/>
    <n v="78555.5"/>
  </r>
  <r>
    <s v="ORD1915"/>
    <x v="32"/>
    <x v="0"/>
    <x v="4"/>
    <x v="9"/>
    <x v="2"/>
    <n v="2"/>
    <n v="15455"/>
    <n v="5"/>
    <x v="4"/>
    <n v="29364.5"/>
  </r>
  <r>
    <s v="ORD1916"/>
    <x v="149"/>
    <x v="1"/>
    <x v="4"/>
    <x v="8"/>
    <x v="1"/>
    <n v="2"/>
    <n v="5135"/>
    <n v="10"/>
    <x v="3"/>
    <n v="9243"/>
  </r>
  <r>
    <s v="ORD1917"/>
    <x v="250"/>
    <x v="1"/>
    <x v="2"/>
    <x v="5"/>
    <x v="2"/>
    <n v="8"/>
    <n v="14280"/>
    <n v="5"/>
    <x v="3"/>
    <n v="108528"/>
  </r>
  <r>
    <s v="ORD1918"/>
    <x v="331"/>
    <x v="2"/>
    <x v="1"/>
    <x v="2"/>
    <x v="2"/>
    <n v="6"/>
    <n v="28932"/>
    <n v="0"/>
    <x v="1"/>
    <n v="173592"/>
  </r>
  <r>
    <s v="ORD1919"/>
    <x v="7"/>
    <x v="0"/>
    <x v="3"/>
    <x v="1"/>
    <x v="1"/>
    <n v="2"/>
    <n v="23108"/>
    <n v="10"/>
    <x v="4"/>
    <n v="41594.400000000001"/>
  </r>
  <r>
    <s v="ORD1920"/>
    <x v="326"/>
    <x v="0"/>
    <x v="6"/>
    <x v="5"/>
    <x v="2"/>
    <n v="9"/>
    <n v="49360"/>
    <n v="10"/>
    <x v="2"/>
    <n v="399816"/>
  </r>
  <r>
    <s v="ORD1921"/>
    <x v="338"/>
    <x v="0"/>
    <x v="0"/>
    <x v="7"/>
    <x v="1"/>
    <n v="7"/>
    <n v="45459"/>
    <n v="20"/>
    <x v="2"/>
    <n v="254570.4"/>
  </r>
  <r>
    <s v="ORD1922"/>
    <x v="232"/>
    <x v="0"/>
    <x v="6"/>
    <x v="8"/>
    <x v="1"/>
    <n v="9"/>
    <n v="27346"/>
    <n v="5"/>
    <x v="0"/>
    <n v="233808.3"/>
  </r>
  <r>
    <s v="ORD1923"/>
    <x v="261"/>
    <x v="2"/>
    <x v="0"/>
    <x v="9"/>
    <x v="2"/>
    <n v="10"/>
    <n v="22249"/>
    <n v="0"/>
    <x v="4"/>
    <n v="222490"/>
  </r>
  <r>
    <s v="ORD1924"/>
    <x v="339"/>
    <x v="3"/>
    <x v="5"/>
    <x v="9"/>
    <x v="1"/>
    <n v="3"/>
    <n v="8916"/>
    <n v="15"/>
    <x v="2"/>
    <n v="22735.8"/>
  </r>
  <r>
    <s v="ORD1925"/>
    <x v="306"/>
    <x v="2"/>
    <x v="7"/>
    <x v="4"/>
    <x v="0"/>
    <n v="7"/>
    <n v="45832"/>
    <n v="0"/>
    <x v="2"/>
    <n v="320824"/>
  </r>
  <r>
    <s v="ORD1926"/>
    <x v="33"/>
    <x v="3"/>
    <x v="0"/>
    <x v="2"/>
    <x v="1"/>
    <n v="9"/>
    <n v="38746"/>
    <n v="0"/>
    <x v="4"/>
    <n v="348714"/>
  </r>
  <r>
    <s v="ORD1927"/>
    <x v="334"/>
    <x v="3"/>
    <x v="0"/>
    <x v="9"/>
    <x v="1"/>
    <n v="7"/>
    <n v="36775"/>
    <n v="0"/>
    <x v="3"/>
    <n v="257425"/>
  </r>
  <r>
    <s v="ORD1928"/>
    <x v="246"/>
    <x v="3"/>
    <x v="4"/>
    <x v="7"/>
    <x v="2"/>
    <n v="1"/>
    <n v="10000"/>
    <n v="10"/>
    <x v="4"/>
    <n v="9000"/>
  </r>
  <r>
    <s v="ORD1929"/>
    <x v="318"/>
    <x v="0"/>
    <x v="5"/>
    <x v="4"/>
    <x v="1"/>
    <n v="3"/>
    <n v="22075"/>
    <n v="20"/>
    <x v="3"/>
    <n v="52980"/>
  </r>
  <r>
    <s v="ORD1930"/>
    <x v="211"/>
    <x v="2"/>
    <x v="4"/>
    <x v="3"/>
    <x v="2"/>
    <n v="6"/>
    <n v="14974"/>
    <n v="10"/>
    <x v="1"/>
    <n v="80859.600000000006"/>
  </r>
  <r>
    <s v="ORD1931"/>
    <x v="122"/>
    <x v="3"/>
    <x v="4"/>
    <x v="1"/>
    <x v="0"/>
    <n v="10"/>
    <n v="3987"/>
    <n v="0"/>
    <x v="1"/>
    <n v="39870"/>
  </r>
  <r>
    <s v="ORD1932"/>
    <x v="89"/>
    <x v="1"/>
    <x v="4"/>
    <x v="7"/>
    <x v="1"/>
    <n v="3"/>
    <n v="39868"/>
    <n v="15"/>
    <x v="3"/>
    <n v="101663.4"/>
  </r>
  <r>
    <s v="ORD1933"/>
    <x v="87"/>
    <x v="3"/>
    <x v="6"/>
    <x v="6"/>
    <x v="0"/>
    <n v="3"/>
    <n v="12367"/>
    <n v="10"/>
    <x v="4"/>
    <n v="33390.9"/>
  </r>
  <r>
    <s v="ORD1934"/>
    <x v="331"/>
    <x v="2"/>
    <x v="1"/>
    <x v="5"/>
    <x v="1"/>
    <n v="3"/>
    <n v="22987"/>
    <n v="0"/>
    <x v="0"/>
    <n v="68961"/>
  </r>
  <r>
    <s v="ORD1935"/>
    <x v="227"/>
    <x v="0"/>
    <x v="5"/>
    <x v="5"/>
    <x v="0"/>
    <n v="3"/>
    <n v="5143"/>
    <n v="15"/>
    <x v="2"/>
    <n v="13114.65"/>
  </r>
  <r>
    <s v="ORD1936"/>
    <x v="54"/>
    <x v="1"/>
    <x v="6"/>
    <x v="0"/>
    <x v="1"/>
    <n v="1"/>
    <n v="8913"/>
    <n v="5"/>
    <x v="1"/>
    <n v="8467.35"/>
  </r>
  <r>
    <s v="ORD1937"/>
    <x v="292"/>
    <x v="3"/>
    <x v="5"/>
    <x v="1"/>
    <x v="2"/>
    <n v="7"/>
    <n v="18949"/>
    <n v="5"/>
    <x v="1"/>
    <n v="126010.85"/>
  </r>
  <r>
    <s v="ORD1938"/>
    <x v="244"/>
    <x v="0"/>
    <x v="6"/>
    <x v="6"/>
    <x v="0"/>
    <n v="5"/>
    <n v="10256"/>
    <n v="0"/>
    <x v="3"/>
    <n v="51280"/>
  </r>
  <r>
    <s v="ORD1939"/>
    <x v="185"/>
    <x v="2"/>
    <x v="7"/>
    <x v="6"/>
    <x v="2"/>
    <n v="5"/>
    <n v="28207"/>
    <n v="20"/>
    <x v="0"/>
    <n v="112828"/>
  </r>
  <r>
    <s v="ORD1940"/>
    <x v="309"/>
    <x v="2"/>
    <x v="1"/>
    <x v="5"/>
    <x v="2"/>
    <n v="8"/>
    <n v="12013"/>
    <n v="20"/>
    <x v="4"/>
    <n v="76883.199999999997"/>
  </r>
  <r>
    <s v="ORD1941"/>
    <x v="253"/>
    <x v="1"/>
    <x v="2"/>
    <x v="4"/>
    <x v="0"/>
    <n v="5"/>
    <n v="46632"/>
    <n v="0"/>
    <x v="0"/>
    <n v="233160"/>
  </r>
  <r>
    <s v="ORD1942"/>
    <x v="230"/>
    <x v="1"/>
    <x v="4"/>
    <x v="2"/>
    <x v="1"/>
    <n v="3"/>
    <n v="25243"/>
    <n v="20"/>
    <x v="3"/>
    <n v="60583.199999999997"/>
  </r>
  <r>
    <s v="ORD1943"/>
    <x v="284"/>
    <x v="3"/>
    <x v="6"/>
    <x v="0"/>
    <x v="1"/>
    <n v="2"/>
    <n v="37268"/>
    <n v="20"/>
    <x v="0"/>
    <n v="59628.800000000003"/>
  </r>
  <r>
    <s v="ORD1944"/>
    <x v="146"/>
    <x v="0"/>
    <x v="5"/>
    <x v="9"/>
    <x v="1"/>
    <n v="3"/>
    <n v="11813"/>
    <n v="20"/>
    <x v="2"/>
    <n v="28351.200000000001"/>
  </r>
  <r>
    <s v="ORD1945"/>
    <x v="193"/>
    <x v="0"/>
    <x v="4"/>
    <x v="1"/>
    <x v="2"/>
    <n v="4"/>
    <n v="29748"/>
    <n v="10"/>
    <x v="4"/>
    <n v="107092.8"/>
  </r>
  <r>
    <s v="ORD1946"/>
    <x v="340"/>
    <x v="2"/>
    <x v="7"/>
    <x v="2"/>
    <x v="2"/>
    <n v="1"/>
    <n v="16967"/>
    <n v="15"/>
    <x v="4"/>
    <n v="14421.95"/>
  </r>
  <r>
    <s v="ORD1947"/>
    <x v="81"/>
    <x v="2"/>
    <x v="0"/>
    <x v="8"/>
    <x v="0"/>
    <n v="10"/>
    <n v="39141"/>
    <n v="0"/>
    <x v="0"/>
    <n v="391410"/>
  </r>
  <r>
    <s v="ORD1948"/>
    <x v="341"/>
    <x v="3"/>
    <x v="7"/>
    <x v="6"/>
    <x v="2"/>
    <n v="5"/>
    <n v="3667"/>
    <n v="5"/>
    <x v="1"/>
    <n v="17418.25"/>
  </r>
  <r>
    <s v="ORD1949"/>
    <x v="155"/>
    <x v="3"/>
    <x v="6"/>
    <x v="5"/>
    <x v="1"/>
    <n v="1"/>
    <n v="9740"/>
    <n v="20"/>
    <x v="2"/>
    <n v="7792"/>
  </r>
  <r>
    <s v="ORD1950"/>
    <x v="113"/>
    <x v="2"/>
    <x v="4"/>
    <x v="7"/>
    <x v="0"/>
    <n v="8"/>
    <n v="7551"/>
    <n v="0"/>
    <x v="4"/>
    <n v="60408"/>
  </r>
  <r>
    <s v="ORD1951"/>
    <x v="52"/>
    <x v="2"/>
    <x v="6"/>
    <x v="7"/>
    <x v="1"/>
    <n v="8"/>
    <n v="42431"/>
    <n v="10"/>
    <x v="4"/>
    <n v="305503.2"/>
  </r>
  <r>
    <s v="ORD1952"/>
    <x v="164"/>
    <x v="0"/>
    <x v="3"/>
    <x v="8"/>
    <x v="0"/>
    <n v="8"/>
    <n v="41136"/>
    <n v="10"/>
    <x v="1"/>
    <n v="296179.20000000001"/>
  </r>
  <r>
    <s v="ORD1953"/>
    <x v="223"/>
    <x v="0"/>
    <x v="0"/>
    <x v="6"/>
    <x v="1"/>
    <n v="9"/>
    <n v="25650"/>
    <n v="20"/>
    <x v="0"/>
    <n v="184680"/>
  </r>
  <r>
    <s v="ORD1954"/>
    <x v="37"/>
    <x v="0"/>
    <x v="5"/>
    <x v="9"/>
    <x v="2"/>
    <n v="1"/>
    <n v="11338"/>
    <n v="15"/>
    <x v="1"/>
    <n v="9637.2999999999993"/>
  </r>
  <r>
    <s v="ORD1955"/>
    <x v="304"/>
    <x v="3"/>
    <x v="1"/>
    <x v="9"/>
    <x v="2"/>
    <n v="10"/>
    <n v="2024"/>
    <n v="5"/>
    <x v="3"/>
    <n v="19228"/>
  </r>
  <r>
    <s v="ORD1956"/>
    <x v="196"/>
    <x v="0"/>
    <x v="6"/>
    <x v="8"/>
    <x v="1"/>
    <n v="8"/>
    <n v="32913"/>
    <n v="15"/>
    <x v="1"/>
    <n v="223808.4"/>
  </r>
  <r>
    <s v="ORD1957"/>
    <x v="132"/>
    <x v="1"/>
    <x v="0"/>
    <x v="4"/>
    <x v="0"/>
    <n v="4"/>
    <n v="6290"/>
    <n v="5"/>
    <x v="2"/>
    <n v="23902"/>
  </r>
  <r>
    <s v="ORD1958"/>
    <x v="28"/>
    <x v="1"/>
    <x v="1"/>
    <x v="9"/>
    <x v="2"/>
    <n v="4"/>
    <n v="1416"/>
    <n v="5"/>
    <x v="4"/>
    <n v="5380.8"/>
  </r>
  <r>
    <s v="ORD1959"/>
    <x v="102"/>
    <x v="0"/>
    <x v="0"/>
    <x v="1"/>
    <x v="0"/>
    <n v="10"/>
    <n v="1473"/>
    <n v="0"/>
    <x v="0"/>
    <n v="14730"/>
  </r>
  <r>
    <s v="ORD1960"/>
    <x v="264"/>
    <x v="0"/>
    <x v="1"/>
    <x v="0"/>
    <x v="1"/>
    <n v="8"/>
    <n v="12758"/>
    <n v="5"/>
    <x v="3"/>
    <n v="96960.799999999988"/>
  </r>
  <r>
    <s v="ORD1961"/>
    <x v="218"/>
    <x v="2"/>
    <x v="3"/>
    <x v="1"/>
    <x v="1"/>
    <n v="8"/>
    <n v="6841"/>
    <n v="5"/>
    <x v="2"/>
    <n v="51991.6"/>
  </r>
  <r>
    <s v="ORD1962"/>
    <x v="220"/>
    <x v="2"/>
    <x v="2"/>
    <x v="3"/>
    <x v="1"/>
    <n v="7"/>
    <n v="47316"/>
    <n v="10"/>
    <x v="4"/>
    <n v="298090.8"/>
  </r>
  <r>
    <s v="ORD1963"/>
    <x v="169"/>
    <x v="3"/>
    <x v="5"/>
    <x v="7"/>
    <x v="0"/>
    <n v="8"/>
    <n v="43713"/>
    <n v="15"/>
    <x v="4"/>
    <n v="297248.40000000002"/>
  </r>
  <r>
    <s v="ORD1964"/>
    <x v="289"/>
    <x v="1"/>
    <x v="1"/>
    <x v="6"/>
    <x v="2"/>
    <n v="2"/>
    <n v="39910"/>
    <n v="15"/>
    <x v="0"/>
    <n v="67847"/>
  </r>
  <r>
    <s v="ORD1965"/>
    <x v="189"/>
    <x v="1"/>
    <x v="2"/>
    <x v="0"/>
    <x v="1"/>
    <n v="10"/>
    <n v="19594"/>
    <n v="10"/>
    <x v="0"/>
    <n v="176346"/>
  </r>
  <r>
    <s v="ORD1966"/>
    <x v="342"/>
    <x v="3"/>
    <x v="1"/>
    <x v="6"/>
    <x v="0"/>
    <n v="10"/>
    <n v="28277"/>
    <n v="20"/>
    <x v="0"/>
    <n v="226216"/>
  </r>
  <r>
    <s v="ORD1967"/>
    <x v="131"/>
    <x v="0"/>
    <x v="5"/>
    <x v="2"/>
    <x v="2"/>
    <n v="1"/>
    <n v="46449"/>
    <n v="0"/>
    <x v="3"/>
    <n v="46449"/>
  </r>
  <r>
    <s v="ORD1968"/>
    <x v="90"/>
    <x v="0"/>
    <x v="6"/>
    <x v="2"/>
    <x v="2"/>
    <n v="4"/>
    <n v="32195"/>
    <n v="15"/>
    <x v="0"/>
    <n v="109463"/>
  </r>
  <r>
    <s v="ORD1969"/>
    <x v="42"/>
    <x v="3"/>
    <x v="0"/>
    <x v="0"/>
    <x v="0"/>
    <n v="9"/>
    <n v="46374"/>
    <n v="20"/>
    <x v="2"/>
    <n v="333892.8"/>
  </r>
  <r>
    <s v="ORD1970"/>
    <x v="59"/>
    <x v="1"/>
    <x v="2"/>
    <x v="4"/>
    <x v="1"/>
    <n v="5"/>
    <n v="9316"/>
    <n v="10"/>
    <x v="0"/>
    <n v="41922"/>
  </r>
  <r>
    <s v="ORD1971"/>
    <x v="213"/>
    <x v="1"/>
    <x v="4"/>
    <x v="9"/>
    <x v="2"/>
    <n v="10"/>
    <n v="14510"/>
    <n v="0"/>
    <x v="0"/>
    <n v="145100"/>
  </r>
  <r>
    <s v="ORD1972"/>
    <x v="125"/>
    <x v="0"/>
    <x v="5"/>
    <x v="9"/>
    <x v="0"/>
    <n v="9"/>
    <n v="10377"/>
    <n v="10"/>
    <x v="2"/>
    <n v="84053.7"/>
  </r>
  <r>
    <s v="ORD1973"/>
    <x v="143"/>
    <x v="2"/>
    <x v="6"/>
    <x v="5"/>
    <x v="0"/>
    <n v="4"/>
    <n v="42931"/>
    <n v="20"/>
    <x v="3"/>
    <n v="137379.20000000001"/>
  </r>
  <r>
    <s v="ORD1974"/>
    <x v="343"/>
    <x v="3"/>
    <x v="5"/>
    <x v="9"/>
    <x v="2"/>
    <n v="1"/>
    <n v="18756"/>
    <n v="15"/>
    <x v="4"/>
    <n v="15942.6"/>
  </r>
  <r>
    <s v="ORD1975"/>
    <x v="49"/>
    <x v="3"/>
    <x v="6"/>
    <x v="4"/>
    <x v="0"/>
    <n v="3"/>
    <n v="35281"/>
    <n v="15"/>
    <x v="0"/>
    <n v="89966.55"/>
  </r>
  <r>
    <s v="ORD1976"/>
    <x v="195"/>
    <x v="0"/>
    <x v="3"/>
    <x v="9"/>
    <x v="1"/>
    <n v="3"/>
    <n v="30518"/>
    <n v="5"/>
    <x v="1"/>
    <n v="86976.3"/>
  </r>
  <r>
    <s v="ORD1977"/>
    <x v="125"/>
    <x v="3"/>
    <x v="3"/>
    <x v="9"/>
    <x v="0"/>
    <n v="1"/>
    <n v="28002"/>
    <n v="10"/>
    <x v="2"/>
    <n v="25201.8"/>
  </r>
  <r>
    <s v="ORD1978"/>
    <x v="126"/>
    <x v="1"/>
    <x v="2"/>
    <x v="1"/>
    <x v="0"/>
    <n v="6"/>
    <n v="16679"/>
    <n v="5"/>
    <x v="1"/>
    <n v="95070.299999999988"/>
  </r>
  <r>
    <s v="ORD1979"/>
    <x v="277"/>
    <x v="0"/>
    <x v="0"/>
    <x v="4"/>
    <x v="0"/>
    <n v="1"/>
    <n v="12439"/>
    <n v="10"/>
    <x v="4"/>
    <n v="11195.1"/>
  </r>
  <r>
    <s v="ORD1980"/>
    <x v="304"/>
    <x v="1"/>
    <x v="3"/>
    <x v="9"/>
    <x v="0"/>
    <n v="3"/>
    <n v="41012"/>
    <n v="15"/>
    <x v="3"/>
    <n v="104580.6"/>
  </r>
  <r>
    <s v="ORD1981"/>
    <x v="80"/>
    <x v="2"/>
    <x v="1"/>
    <x v="7"/>
    <x v="2"/>
    <n v="1"/>
    <n v="46329"/>
    <n v="10"/>
    <x v="1"/>
    <n v="41696.1"/>
  </r>
  <r>
    <s v="ORD1982"/>
    <x v="215"/>
    <x v="3"/>
    <x v="2"/>
    <x v="4"/>
    <x v="1"/>
    <n v="10"/>
    <n v="3465"/>
    <n v="10"/>
    <x v="1"/>
    <n v="31185"/>
  </r>
  <r>
    <s v="ORD1983"/>
    <x v="261"/>
    <x v="3"/>
    <x v="1"/>
    <x v="2"/>
    <x v="0"/>
    <n v="10"/>
    <n v="40077"/>
    <n v="0"/>
    <x v="2"/>
    <n v="400770"/>
  </r>
  <r>
    <s v="ORD1984"/>
    <x v="337"/>
    <x v="1"/>
    <x v="5"/>
    <x v="2"/>
    <x v="0"/>
    <n v="5"/>
    <n v="12796"/>
    <n v="20"/>
    <x v="3"/>
    <n v="51184"/>
  </r>
  <r>
    <s v="ORD1985"/>
    <x v="13"/>
    <x v="0"/>
    <x v="6"/>
    <x v="7"/>
    <x v="0"/>
    <n v="6"/>
    <n v="48002"/>
    <n v="0"/>
    <x v="4"/>
    <n v="288012"/>
  </r>
  <r>
    <s v="ORD1986"/>
    <x v="310"/>
    <x v="0"/>
    <x v="6"/>
    <x v="6"/>
    <x v="0"/>
    <n v="2"/>
    <n v="33760"/>
    <n v="0"/>
    <x v="3"/>
    <n v="67520"/>
  </r>
  <r>
    <s v="ORD1987"/>
    <x v="344"/>
    <x v="3"/>
    <x v="7"/>
    <x v="6"/>
    <x v="2"/>
    <n v="1"/>
    <n v="41111"/>
    <n v="5"/>
    <x v="3"/>
    <n v="39055.449999999997"/>
  </r>
  <r>
    <s v="ORD1988"/>
    <x v="251"/>
    <x v="1"/>
    <x v="0"/>
    <x v="7"/>
    <x v="2"/>
    <n v="2"/>
    <n v="6768"/>
    <n v="10"/>
    <x v="4"/>
    <n v="12182.4"/>
  </r>
  <r>
    <s v="ORD1989"/>
    <x v="242"/>
    <x v="2"/>
    <x v="0"/>
    <x v="4"/>
    <x v="1"/>
    <n v="7"/>
    <n v="42103"/>
    <n v="20"/>
    <x v="1"/>
    <n v="235776.8"/>
  </r>
  <r>
    <s v="ORD1990"/>
    <x v="24"/>
    <x v="1"/>
    <x v="0"/>
    <x v="5"/>
    <x v="2"/>
    <n v="3"/>
    <n v="20739"/>
    <n v="15"/>
    <x v="1"/>
    <n v="52884.45"/>
  </r>
  <r>
    <s v="ORD1991"/>
    <x v="63"/>
    <x v="0"/>
    <x v="7"/>
    <x v="5"/>
    <x v="0"/>
    <n v="3"/>
    <n v="23796"/>
    <n v="10"/>
    <x v="4"/>
    <n v="64249.2"/>
  </r>
  <r>
    <s v="ORD1992"/>
    <x v="74"/>
    <x v="3"/>
    <x v="0"/>
    <x v="3"/>
    <x v="2"/>
    <n v="5"/>
    <n v="28445"/>
    <n v="10"/>
    <x v="1"/>
    <n v="128002.5"/>
  </r>
  <r>
    <s v="ORD1993"/>
    <x v="244"/>
    <x v="3"/>
    <x v="3"/>
    <x v="6"/>
    <x v="0"/>
    <n v="10"/>
    <n v="1299"/>
    <n v="0"/>
    <x v="3"/>
    <n v="12990"/>
  </r>
  <r>
    <s v="ORD1994"/>
    <x v="17"/>
    <x v="3"/>
    <x v="2"/>
    <x v="6"/>
    <x v="1"/>
    <n v="10"/>
    <n v="37550"/>
    <n v="20"/>
    <x v="1"/>
    <n v="300400"/>
  </r>
  <r>
    <s v="ORD1995"/>
    <x v="42"/>
    <x v="2"/>
    <x v="4"/>
    <x v="0"/>
    <x v="1"/>
    <n v="10"/>
    <n v="16442"/>
    <n v="5"/>
    <x v="0"/>
    <n v="156199"/>
  </r>
  <r>
    <s v="ORD1996"/>
    <x v="131"/>
    <x v="2"/>
    <x v="1"/>
    <x v="9"/>
    <x v="2"/>
    <n v="9"/>
    <n v="13576"/>
    <n v="15"/>
    <x v="3"/>
    <n v="103856.4"/>
  </r>
  <r>
    <s v="ORD1997"/>
    <x v="28"/>
    <x v="0"/>
    <x v="1"/>
    <x v="1"/>
    <x v="1"/>
    <n v="3"/>
    <n v="8700"/>
    <n v="15"/>
    <x v="4"/>
    <n v="22185"/>
  </r>
  <r>
    <s v="ORD1998"/>
    <x v="59"/>
    <x v="1"/>
    <x v="0"/>
    <x v="1"/>
    <x v="1"/>
    <n v="8"/>
    <n v="35747"/>
    <n v="0"/>
    <x v="0"/>
    <n v="285976"/>
  </r>
  <r>
    <s v="ORD1999"/>
    <x v="22"/>
    <x v="1"/>
    <x v="4"/>
    <x v="7"/>
    <x v="2"/>
    <n v="10"/>
    <n v="7270"/>
    <n v="15"/>
    <x v="3"/>
    <n v="617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F5BC9D-5D11-4967-A023-D3CB168F1591}"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55:N61" firstHeaderRow="1" firstDataRow="1" firstDataCol="1"/>
  <pivotFields count="13">
    <pivotField showAll="0"/>
    <pivotField numFmtId="164" showAll="0"/>
    <pivotField showAll="0">
      <items count="5">
        <item x="3"/>
        <item x="1"/>
        <item x="2"/>
        <item x="0"/>
        <item t="default"/>
      </items>
    </pivotField>
    <pivotField showAll="0">
      <items count="9">
        <item x="0"/>
        <item x="3"/>
        <item x="5"/>
        <item x="2"/>
        <item x="6"/>
        <item x="1"/>
        <item x="4"/>
        <item x="7"/>
        <item t="default"/>
      </items>
    </pivotField>
    <pivotField showAll="0">
      <items count="11">
        <item x="6"/>
        <item x="8"/>
        <item x="3"/>
        <item x="7"/>
        <item x="0"/>
        <item x="1"/>
        <item x="2"/>
        <item x="4"/>
        <item x="5"/>
        <item x="9"/>
        <item t="default"/>
      </items>
    </pivotField>
    <pivotField showAll="0">
      <items count="4">
        <item x="1"/>
        <item x="0"/>
        <item x="2"/>
        <item t="default"/>
      </items>
    </pivotField>
    <pivotField showAll="0"/>
    <pivotField showAll="0"/>
    <pivotField showAll="0"/>
    <pivotField axis="axisRow" showAll="0">
      <items count="6">
        <item x="4"/>
        <item x="1"/>
        <item x="2"/>
        <item x="3"/>
        <item x="0"/>
        <item t="default"/>
      </items>
    </pivotField>
    <pivotField dataField="1" showAll="0"/>
    <pivotField showAll="0" defaultSubtotal="0"/>
    <pivotField showAll="0" defaultSubtotal="0"/>
  </pivotFields>
  <rowFields count="1">
    <field x="9"/>
  </rowFields>
  <rowItems count="6">
    <i>
      <x/>
    </i>
    <i>
      <x v="1"/>
    </i>
    <i>
      <x v="2"/>
    </i>
    <i>
      <x v="3"/>
    </i>
    <i>
      <x v="4"/>
    </i>
    <i t="grand">
      <x/>
    </i>
  </rowItems>
  <colItems count="1">
    <i/>
  </colItems>
  <dataFields count="1">
    <dataField name="Sum of Total_Sales" fld="10"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8910F-236E-4458-ABAE-5A97D6500D9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4:E15"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items count="5">
        <item x="3"/>
        <item x="1"/>
        <item x="2"/>
        <item x="0"/>
        <item t="default"/>
      </items>
    </pivotField>
    <pivotField showAll="0">
      <items count="9">
        <item x="0"/>
        <item x="3"/>
        <item x="5"/>
        <item x="2"/>
        <item x="6"/>
        <item x="1"/>
        <item x="4"/>
        <item x="7"/>
        <item t="default"/>
      </items>
    </pivotField>
    <pivotField axis="axisRow" showAll="0">
      <items count="11">
        <item x="6"/>
        <item x="8"/>
        <item x="3"/>
        <item x="7"/>
        <item x="0"/>
        <item x="1"/>
        <item x="2"/>
        <item x="4"/>
        <item x="5"/>
        <item x="9"/>
        <item t="default"/>
      </items>
    </pivotField>
    <pivotField showAll="0">
      <items count="4">
        <item x="1"/>
        <item x="0"/>
        <item x="2"/>
        <item t="default"/>
      </items>
    </pivotField>
    <pivotField showAll="0"/>
    <pivotField showAll="0"/>
    <pivotField showAll="0"/>
    <pivotField showAll="0">
      <items count="6">
        <item x="4"/>
        <item x="1"/>
        <item x="2"/>
        <item x="3"/>
        <item x="0"/>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11">
    <i>
      <x/>
    </i>
    <i>
      <x v="1"/>
    </i>
    <i>
      <x v="2"/>
    </i>
    <i>
      <x v="3"/>
    </i>
    <i>
      <x v="4"/>
    </i>
    <i>
      <x v="5"/>
    </i>
    <i>
      <x v="6"/>
    </i>
    <i>
      <x v="7"/>
    </i>
    <i>
      <x v="8"/>
    </i>
    <i>
      <x v="9"/>
    </i>
    <i t="grand">
      <x/>
    </i>
  </rowItems>
  <colItems count="1">
    <i/>
  </colItems>
  <dataFields count="1">
    <dataField name="Sum of Total_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9B3650-1A34-4A70-B803-31D041CA8FE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4:B9"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5">
        <item x="3"/>
        <item x="1"/>
        <item x="2"/>
        <item x="0"/>
        <item t="default"/>
      </items>
    </pivotField>
    <pivotField showAll="0">
      <items count="9">
        <item x="0"/>
        <item x="3"/>
        <item x="5"/>
        <item x="2"/>
        <item x="6"/>
        <item x="1"/>
        <item x="4"/>
        <item x="7"/>
        <item t="default"/>
      </items>
    </pivotField>
    <pivotField showAll="0">
      <items count="11">
        <item x="6"/>
        <item x="8"/>
        <item x="3"/>
        <item x="7"/>
        <item x="0"/>
        <item x="1"/>
        <item x="2"/>
        <item x="4"/>
        <item x="5"/>
        <item x="9"/>
        <item t="default"/>
      </items>
    </pivotField>
    <pivotField showAll="0">
      <items count="4">
        <item x="1"/>
        <item x="0"/>
        <item x="2"/>
        <item t="default"/>
      </items>
    </pivotField>
    <pivotField showAll="0"/>
    <pivotField showAll="0"/>
    <pivotField showAll="0"/>
    <pivotField showAll="0">
      <items count="6">
        <item x="4"/>
        <item x="1"/>
        <item x="2"/>
        <item x="3"/>
        <item x="0"/>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Total_Sales" fld="10"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A2A9F-D319-47B2-B899-360A8ADBE10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4:K17"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items count="5">
        <item x="3"/>
        <item x="1"/>
        <item x="2"/>
        <item x="0"/>
        <item t="default"/>
      </items>
    </pivotField>
    <pivotField showAll="0">
      <items count="9">
        <item x="0"/>
        <item x="3"/>
        <item x="5"/>
        <item x="2"/>
        <item x="6"/>
        <item x="1"/>
        <item x="4"/>
        <item x="7"/>
        <item t="default"/>
      </items>
    </pivotField>
    <pivotField showAll="0">
      <items count="11">
        <item x="6"/>
        <item x="8"/>
        <item x="3"/>
        <item x="7"/>
        <item x="0"/>
        <item x="1"/>
        <item x="2"/>
        <item x="4"/>
        <item x="5"/>
        <item x="9"/>
        <item t="default"/>
      </items>
    </pivotField>
    <pivotField showAll="0">
      <items count="4">
        <item x="1"/>
        <item x="0"/>
        <item x="2"/>
        <item t="default"/>
      </items>
    </pivotField>
    <pivotField showAll="0"/>
    <pivotField showAll="0"/>
    <pivotField showAll="0"/>
    <pivotField showAll="0">
      <items count="6">
        <item x="4"/>
        <item x="1"/>
        <item x="2"/>
        <item x="3"/>
        <item x="0"/>
        <item t="default"/>
      </items>
    </pivotField>
    <pivotField dataField="1" showAll="0"/>
    <pivotField showAll="0">
      <items count="7">
        <item sd="0" x="0"/>
        <item x="1"/>
        <item sd="0" x="2"/>
        <item sd="0" x="3"/>
        <item sd="0" x="4"/>
        <item sd="0" x="5"/>
        <item t="default"/>
      </items>
    </pivotField>
    <pivotField showAll="0">
      <items count="5">
        <item sd="0" x="0"/>
        <item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_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0C900-9EA8-45B2-84EC-4EBAD9FAAC5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H13"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items count="5">
        <item x="3"/>
        <item x="1"/>
        <item x="2"/>
        <item x="0"/>
        <item t="default"/>
      </items>
    </pivotField>
    <pivotField axis="axisRow" showAll="0">
      <items count="9">
        <item x="0"/>
        <item x="3"/>
        <item x="5"/>
        <item x="2"/>
        <item x="6"/>
        <item x="1"/>
        <item x="4"/>
        <item x="7"/>
        <item t="default"/>
      </items>
    </pivotField>
    <pivotField showAll="0">
      <items count="11">
        <item x="6"/>
        <item x="8"/>
        <item x="3"/>
        <item x="7"/>
        <item x="0"/>
        <item x="1"/>
        <item x="2"/>
        <item x="4"/>
        <item x="5"/>
        <item x="9"/>
        <item t="default"/>
      </items>
    </pivotField>
    <pivotField showAll="0">
      <items count="4">
        <item x="1"/>
        <item x="0"/>
        <item x="2"/>
        <item t="default"/>
      </items>
    </pivotField>
    <pivotField showAll="0"/>
    <pivotField showAll="0"/>
    <pivotField showAll="0"/>
    <pivotField showAll="0">
      <items count="6">
        <item x="4"/>
        <item x="1"/>
        <item x="2"/>
        <item x="3"/>
        <item x="0"/>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C5CDA2-D787-4763-BE26-7897BE97C53F}" sourceName="Region">
  <pivotTables>
    <pivotTable tabId="1" name="PivotTable19"/>
    <pivotTable tabId="6" name="PivotTable1"/>
    <pivotTable tabId="6" name="PivotTable2"/>
    <pivotTable tabId="6" name="PivotTable3"/>
    <pivotTable tabId="6" name="PivotTable4"/>
  </pivotTables>
  <data>
    <tabular pivotCacheId="1928568961">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71434D2-CDA2-4552-B008-91C5ECED7D4B}" sourceName="Salesperson">
  <pivotTables>
    <pivotTable tabId="1" name="PivotTable19"/>
    <pivotTable tabId="6" name="PivotTable1"/>
    <pivotTable tabId="6" name="PivotTable2"/>
    <pivotTable tabId="6" name="PivotTable3"/>
    <pivotTable tabId="6" name="PivotTable4"/>
  </pivotTables>
  <data>
    <tabular pivotCacheId="1928568961">
      <items count="8">
        <i x="0" s="1"/>
        <i x="3" s="1"/>
        <i x="5" s="1"/>
        <i x="2" s="1"/>
        <i x="6" s="1"/>
        <i x="1"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2B9AEF-388C-4CE4-B535-D3F4873238C8}" sourceName="Product">
  <pivotTables>
    <pivotTable tabId="1" name="PivotTable19"/>
    <pivotTable tabId="6" name="PivotTable1"/>
    <pivotTable tabId="6" name="PivotTable2"/>
    <pivotTable tabId="6" name="PivotTable3"/>
    <pivotTable tabId="6" name="PivotTable4"/>
  </pivotTables>
  <data>
    <tabular pivotCacheId="1928568961">
      <items count="10">
        <i x="6" s="1"/>
        <i x="8" s="1"/>
        <i x="3" s="1"/>
        <i x="7" s="1"/>
        <i x="0" s="1"/>
        <i x="1" s="1"/>
        <i x="2" s="1"/>
        <i x="4" s="1"/>
        <i x="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A60151-CE04-427C-961D-3E1FB08174E2}" sourceName="Category">
  <pivotTables>
    <pivotTable tabId="1" name="PivotTable19"/>
    <pivotTable tabId="6" name="PivotTable1"/>
    <pivotTable tabId="6" name="PivotTable2"/>
    <pivotTable tabId="6" name="PivotTable3"/>
    <pivotTable tabId="6" name="PivotTable4"/>
  </pivotTables>
  <data>
    <tabular pivotCacheId="192856896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4CBCCBE-062F-41E3-81D4-61418B04FE04}" sourceName="Payment_Method">
  <pivotTables>
    <pivotTable tabId="1" name="PivotTable19"/>
    <pivotTable tabId="6" name="PivotTable1"/>
    <pivotTable tabId="6" name="PivotTable2"/>
    <pivotTable tabId="6" name="PivotTable3"/>
    <pivotTable tabId="6" name="PivotTable4"/>
  </pivotTables>
  <data>
    <tabular pivotCacheId="1928568961">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DE1DF6-F1FE-49FA-9520-56A3EC40517E}" cache="Slicer_Region" caption="Region" rowHeight="241300"/>
  <slicer name="Salesperson" xr10:uid="{F818C0BE-DEB4-4343-B7DC-19FCFCB278E0}" cache="Slicer_Salesperson" caption="Salesperson" rowHeight="241300"/>
  <slicer name="Product" xr10:uid="{44B5E2B8-CE15-4C44-AC80-197C7D934324}" cache="Slicer_Product" caption="Product" rowHeight="241300"/>
  <slicer name="Category" xr10:uid="{16F9AE92-D48B-4881-97F0-C4B924122758}" cache="Slicer_Category" caption="Category" rowHeight="241300"/>
  <slicer name="Payment_Method" xr10:uid="{94E17078-EC16-4AFE-A784-85269CDA8DD2}"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CBE03C-8DB5-463D-960C-A4C9B5FA1295}" name="Table1" displayName="Table1" ref="A1:L1002" totalsRowShown="0" headerRowDxfId="3" headerRowBorderDxfId="2" tableBorderDxfId="1">
  <autoFilter ref="A1:L1002" xr:uid="{95CBE03C-8DB5-463D-960C-A4C9B5FA1295}"/>
  <tableColumns count="12">
    <tableColumn id="1" xr3:uid="{2A68F748-7B62-4847-984C-9A7C57139D2E}" name="Order_ID"/>
    <tableColumn id="2" xr3:uid="{6959C9FA-70EC-47D8-90AC-DB1D3876BEB5}" name="Date" dataDxfId="0"/>
    <tableColumn id="3" xr3:uid="{F5F15444-5771-407E-8020-38CB1A1B0286}" name="Region"/>
    <tableColumn id="4" xr3:uid="{BECA7227-092D-4880-A07D-FFECACC8CD9B}" name="Salesperson"/>
    <tableColumn id="5" xr3:uid="{6EDF6F0A-C32B-4048-8038-563AD3010F5B}" name="Product"/>
    <tableColumn id="6" xr3:uid="{D44A3718-83A5-4223-96C3-78F586DD4D67}" name="Category"/>
    <tableColumn id="7" xr3:uid="{6774976B-81A5-4FF2-AE10-79AD106A0453}" name="Quantity"/>
    <tableColumn id="8" xr3:uid="{64D921BF-C404-411E-B9B5-9466F4919C69}" name="Unit_Price"/>
    <tableColumn id="9" xr3:uid="{82020EC5-D22C-4960-9A77-1465F345BB7A}" name="Discount(%)"/>
    <tableColumn id="10" xr3:uid="{F0689F0C-375A-450F-BA03-AE48A4C0E89E}" name="Payment_Method"/>
    <tableColumn id="11" xr3:uid="{C7F73DBE-C594-41BA-88AA-2FD136D4F920}" name="Total Sales"/>
    <tableColumn id="12" xr3:uid="{0179C737-76EE-4CBC-A474-AA8024A3D0D8}"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rinterSettings" Target="../printerSettings/printerSettings3.bin"/><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B1002"/>
  <sheetViews>
    <sheetView topLeftCell="A982" workbookViewId="0">
      <selection activeCell="AA13" sqref="AA13"/>
    </sheetView>
  </sheetViews>
  <sheetFormatPr defaultRowHeight="15" x14ac:dyDescent="0.25"/>
  <cols>
    <col min="1" max="1" width="11.140625" customWidth="1"/>
    <col min="2" max="2" width="10.42578125" bestFit="1" customWidth="1"/>
    <col min="3" max="3" width="9.28515625" customWidth="1"/>
    <col min="4" max="4" width="13.85546875" customWidth="1"/>
    <col min="5" max="5" width="12.140625" bestFit="1" customWidth="1"/>
    <col min="6" max="6" width="14.5703125" bestFit="1" customWidth="1"/>
    <col min="7" max="7" width="10.85546875" customWidth="1"/>
    <col min="8" max="8" width="12.42578125" customWidth="1"/>
    <col min="9" max="9" width="13.85546875" customWidth="1"/>
    <col min="10" max="10" width="19.140625" customWidth="1"/>
    <col min="11" max="11" width="13.140625" customWidth="1"/>
    <col min="13" max="13" width="13.140625" bestFit="1" customWidth="1"/>
    <col min="14" max="14" width="17.85546875" bestFit="1" customWidth="1"/>
    <col min="15" max="16" width="11.28515625" bestFit="1" customWidth="1"/>
    <col min="17" max="19" width="14.5703125" bestFit="1" customWidth="1"/>
    <col min="20" max="20" width="11.85546875" bestFit="1" customWidth="1"/>
    <col min="21" max="22" width="14.5703125" bestFit="1" customWidth="1"/>
    <col min="23" max="23" width="11.85546875" bestFit="1" customWidth="1"/>
    <col min="24" max="24" width="14.5703125" bestFit="1" customWidth="1"/>
    <col min="25" max="25" width="11.28515625" bestFit="1" customWidth="1"/>
    <col min="26" max="26" width="12.140625" bestFit="1" customWidth="1"/>
    <col min="27" max="27" width="11.7109375" bestFit="1" customWidth="1"/>
    <col min="28" max="28" width="14.5703125" bestFit="1" customWidth="1"/>
    <col min="29" max="29" width="11.7109375" bestFit="1" customWidth="1"/>
    <col min="30" max="30" width="10.5703125" bestFit="1" customWidth="1"/>
    <col min="31" max="31" width="11.85546875" bestFit="1" customWidth="1"/>
    <col min="32" max="32" width="11.28515625" bestFit="1" customWidth="1"/>
    <col min="33" max="33" width="14.5703125" bestFit="1" customWidth="1"/>
    <col min="34" max="34" width="11.28515625" bestFit="1" customWidth="1"/>
    <col min="35" max="36" width="14.5703125" bestFit="1" customWidth="1"/>
    <col min="37" max="37" width="11.28515625" bestFit="1" customWidth="1"/>
    <col min="38" max="38" width="14.5703125" bestFit="1" customWidth="1"/>
    <col min="39" max="41" width="10.5703125" bestFit="1" customWidth="1"/>
    <col min="42" max="42" width="11.7109375" bestFit="1" customWidth="1"/>
    <col min="43" max="43" width="11.42578125" bestFit="1" customWidth="1"/>
    <col min="44" max="46" width="14.5703125" bestFit="1" customWidth="1"/>
    <col min="47" max="47" width="11.28515625" bestFit="1" customWidth="1"/>
    <col min="48" max="48" width="10.85546875" bestFit="1" customWidth="1"/>
    <col min="49" max="49" width="11.7109375" bestFit="1" customWidth="1"/>
    <col min="50" max="50" width="14.5703125" bestFit="1" customWidth="1"/>
    <col min="51" max="53" width="10.5703125" bestFit="1" customWidth="1"/>
    <col min="54" max="54" width="12.140625" bestFit="1" customWidth="1"/>
    <col min="55" max="55" width="10.85546875" bestFit="1" customWidth="1"/>
    <col min="56" max="56" width="11.28515625" bestFit="1" customWidth="1"/>
    <col min="57" max="57" width="10.5703125" bestFit="1" customWidth="1"/>
    <col min="58" max="58" width="14.5703125" bestFit="1" customWidth="1"/>
    <col min="59" max="59" width="11.28515625" bestFit="1" customWidth="1"/>
    <col min="60" max="60" width="10.5703125" bestFit="1" customWidth="1"/>
    <col min="61" max="61" width="11.7109375" bestFit="1" customWidth="1"/>
    <col min="62" max="62" width="10.5703125" bestFit="1" customWidth="1"/>
    <col min="63" max="65" width="14.5703125" bestFit="1" customWidth="1"/>
    <col min="66" max="66" width="11.85546875" bestFit="1" customWidth="1"/>
    <col min="67" max="68" width="11.28515625" bestFit="1" customWidth="1"/>
    <col min="69" max="71" width="14.5703125" bestFit="1" customWidth="1"/>
    <col min="72" max="72" width="10.85546875" bestFit="1" customWidth="1"/>
    <col min="73" max="73" width="12.140625" bestFit="1" customWidth="1"/>
    <col min="74" max="74" width="10.5703125" bestFit="1" customWidth="1"/>
    <col min="75" max="76" width="14.5703125" bestFit="1" customWidth="1"/>
    <col min="77" max="77" width="11.7109375" bestFit="1" customWidth="1"/>
    <col min="78" max="78" width="14.5703125" bestFit="1" customWidth="1"/>
    <col min="79" max="79" width="11.28515625" bestFit="1" customWidth="1"/>
    <col min="80" max="80" width="14.5703125" bestFit="1" customWidth="1"/>
    <col min="81" max="81" width="11.28515625" bestFit="1" customWidth="1"/>
    <col min="82" max="82" width="14.5703125" bestFit="1" customWidth="1"/>
    <col min="83" max="83" width="11.42578125" bestFit="1" customWidth="1"/>
    <col min="84" max="85" width="14.5703125" bestFit="1" customWidth="1"/>
    <col min="86" max="86" width="12.140625" bestFit="1" customWidth="1"/>
    <col min="87" max="87" width="14.5703125" bestFit="1" customWidth="1"/>
    <col min="88" max="88" width="11.85546875" bestFit="1" customWidth="1"/>
    <col min="89" max="90" width="11.42578125" bestFit="1" customWidth="1"/>
    <col min="91" max="93" width="14.5703125" bestFit="1" customWidth="1"/>
    <col min="94" max="94" width="11.28515625" bestFit="1" customWidth="1"/>
    <col min="95" max="95" width="14.5703125" bestFit="1" customWidth="1"/>
    <col min="96" max="97" width="11.28515625" bestFit="1" customWidth="1"/>
    <col min="98" max="99" width="14.5703125" bestFit="1" customWidth="1"/>
    <col min="100" max="100" width="10.5703125" bestFit="1" customWidth="1"/>
    <col min="101" max="103" width="11.28515625" bestFit="1" customWidth="1"/>
    <col min="104" max="104" width="11.85546875" bestFit="1" customWidth="1"/>
    <col min="105" max="105" width="11.7109375" bestFit="1" customWidth="1"/>
    <col min="106" max="106" width="12.140625" bestFit="1" customWidth="1"/>
    <col min="107" max="107" width="11.42578125" bestFit="1" customWidth="1"/>
    <col min="108" max="108" width="11.85546875" bestFit="1" customWidth="1"/>
    <col min="109" max="112" width="14.5703125" bestFit="1" customWidth="1"/>
    <col min="113" max="113" width="11.7109375" bestFit="1" customWidth="1"/>
    <col min="114" max="115" width="14.5703125" bestFit="1" customWidth="1"/>
    <col min="116" max="116" width="11.85546875" bestFit="1" customWidth="1"/>
    <col min="117" max="120" width="14.5703125" bestFit="1" customWidth="1"/>
    <col min="121" max="121" width="10.5703125" bestFit="1" customWidth="1"/>
    <col min="122" max="122" width="11.7109375" bestFit="1" customWidth="1"/>
    <col min="123" max="123" width="10.5703125" bestFit="1" customWidth="1"/>
    <col min="124" max="125" width="14.5703125" bestFit="1" customWidth="1"/>
    <col min="126" max="126" width="12.140625" bestFit="1" customWidth="1"/>
    <col min="127" max="127" width="14.5703125" bestFit="1" customWidth="1"/>
    <col min="128" max="128" width="11.42578125" bestFit="1" customWidth="1"/>
    <col min="129" max="129" width="14.5703125" bestFit="1" customWidth="1"/>
    <col min="130" max="130" width="10.5703125" bestFit="1" customWidth="1"/>
    <col min="131" max="132" width="14.5703125" bestFit="1" customWidth="1"/>
    <col min="133" max="133" width="11.85546875" bestFit="1" customWidth="1"/>
    <col min="134" max="137" width="14.5703125" bestFit="1" customWidth="1"/>
    <col min="138" max="138" width="11.7109375" bestFit="1" customWidth="1"/>
    <col min="139" max="139" width="14.5703125" bestFit="1" customWidth="1"/>
    <col min="140" max="140" width="10.5703125" bestFit="1" customWidth="1"/>
    <col min="141" max="141" width="12.140625" bestFit="1" customWidth="1"/>
    <col min="142" max="142" width="14.5703125" bestFit="1" customWidth="1"/>
    <col min="143" max="143" width="11.7109375" bestFit="1" customWidth="1"/>
    <col min="144" max="147" width="14.5703125" bestFit="1" customWidth="1"/>
    <col min="148" max="148" width="11.85546875" bestFit="1" customWidth="1"/>
    <col min="149" max="151" width="14.5703125" bestFit="1" customWidth="1"/>
    <col min="152" max="152" width="11.85546875" bestFit="1" customWidth="1"/>
    <col min="153" max="153" width="11.28515625" bestFit="1" customWidth="1"/>
    <col min="154" max="154" width="11.7109375" bestFit="1" customWidth="1"/>
    <col min="155" max="155" width="14.5703125" bestFit="1" customWidth="1"/>
    <col min="156" max="156" width="12.140625" bestFit="1" customWidth="1"/>
    <col min="157" max="157" width="10.5703125" bestFit="1" customWidth="1"/>
    <col min="158" max="158" width="11.28515625" bestFit="1" customWidth="1"/>
    <col min="159" max="159" width="10.85546875" bestFit="1" customWidth="1"/>
    <col min="160" max="160" width="11.85546875" bestFit="1" customWidth="1"/>
    <col min="161" max="161" width="14.5703125" bestFit="1" customWidth="1"/>
    <col min="162" max="162" width="11.42578125" bestFit="1" customWidth="1"/>
    <col min="163" max="163" width="11.7109375" bestFit="1" customWidth="1"/>
    <col min="164" max="164" width="11.85546875" bestFit="1" customWidth="1"/>
    <col min="165" max="165" width="11.7109375" bestFit="1" customWidth="1"/>
    <col min="166" max="166" width="11.85546875" bestFit="1" customWidth="1"/>
    <col min="167" max="167" width="14.5703125" bestFit="1" customWidth="1"/>
    <col min="168" max="168" width="11.28515625" bestFit="1" customWidth="1"/>
    <col min="169" max="169" width="12.140625" bestFit="1" customWidth="1"/>
    <col min="170" max="170" width="11.85546875" bestFit="1" customWidth="1"/>
    <col min="171" max="171" width="14.5703125" bestFit="1" customWidth="1"/>
    <col min="172" max="172" width="11.85546875" bestFit="1" customWidth="1"/>
    <col min="173" max="173" width="10.5703125" bestFit="1" customWidth="1"/>
    <col min="174" max="174" width="14.5703125" bestFit="1" customWidth="1"/>
    <col min="175" max="175" width="11.7109375" bestFit="1" customWidth="1"/>
    <col min="176" max="176" width="12.140625" bestFit="1" customWidth="1"/>
    <col min="177" max="177" width="11.7109375" bestFit="1" customWidth="1"/>
    <col min="178" max="178" width="10.5703125" bestFit="1" customWidth="1"/>
    <col min="179" max="182" width="14.5703125" bestFit="1" customWidth="1"/>
    <col min="183" max="183" width="10.5703125" bestFit="1" customWidth="1"/>
    <col min="184" max="186" width="14.5703125" bestFit="1" customWidth="1"/>
    <col min="187" max="187" width="12.140625" bestFit="1" customWidth="1"/>
    <col min="188" max="188" width="10.5703125" bestFit="1" customWidth="1"/>
    <col min="189" max="190" width="14.5703125" bestFit="1" customWidth="1"/>
    <col min="191" max="191" width="12.140625" bestFit="1" customWidth="1"/>
    <col min="192" max="193" width="14.5703125" bestFit="1" customWidth="1"/>
    <col min="194" max="195" width="11.42578125" bestFit="1" customWidth="1"/>
    <col min="196" max="197" width="11.28515625" bestFit="1" customWidth="1"/>
    <col min="198" max="198" width="14.5703125" bestFit="1" customWidth="1"/>
    <col min="199" max="199" width="11.7109375" bestFit="1" customWidth="1"/>
    <col min="200" max="200" width="14.5703125" bestFit="1" customWidth="1"/>
    <col min="201" max="201" width="10.5703125" bestFit="1" customWidth="1"/>
    <col min="202" max="202" width="11.7109375" bestFit="1" customWidth="1"/>
    <col min="203" max="203" width="14.5703125" bestFit="1" customWidth="1"/>
    <col min="204" max="204" width="11.28515625" bestFit="1" customWidth="1"/>
    <col min="205" max="205" width="11.7109375" bestFit="1" customWidth="1"/>
    <col min="206" max="206" width="14.5703125" bestFit="1" customWidth="1"/>
    <col min="207" max="207" width="11.28515625" bestFit="1" customWidth="1"/>
    <col min="208" max="208" width="10.5703125" bestFit="1" customWidth="1"/>
    <col min="209" max="212" width="14.5703125" bestFit="1" customWidth="1"/>
    <col min="213" max="213" width="11.7109375" bestFit="1" customWidth="1"/>
    <col min="214" max="217" width="14.5703125" bestFit="1" customWidth="1"/>
    <col min="218" max="218" width="10.85546875" bestFit="1" customWidth="1"/>
    <col min="219" max="219" width="14.5703125" bestFit="1" customWidth="1"/>
    <col min="220" max="220" width="10.85546875" bestFit="1" customWidth="1"/>
    <col min="221" max="221" width="11.7109375" bestFit="1" customWidth="1"/>
    <col min="222" max="222" width="11.28515625" bestFit="1" customWidth="1"/>
    <col min="223" max="223" width="10.5703125" bestFit="1" customWidth="1"/>
    <col min="224" max="224" width="14.5703125" bestFit="1" customWidth="1"/>
    <col min="225" max="226" width="11.7109375" bestFit="1" customWidth="1"/>
    <col min="227" max="227" width="11.42578125" bestFit="1" customWidth="1"/>
    <col min="228" max="229" width="14.5703125" bestFit="1" customWidth="1"/>
    <col min="230" max="230" width="10.5703125" bestFit="1" customWidth="1"/>
    <col min="231" max="231" width="11.28515625" bestFit="1" customWidth="1"/>
    <col min="232" max="232" width="10.5703125" bestFit="1" customWidth="1"/>
    <col min="233" max="234" width="11.28515625" bestFit="1" customWidth="1"/>
    <col min="235" max="235" width="14.5703125" bestFit="1" customWidth="1"/>
    <col min="236" max="236" width="11.28515625" bestFit="1" customWidth="1"/>
    <col min="237" max="237" width="12.140625" bestFit="1" customWidth="1"/>
    <col min="238" max="238" width="11.85546875" bestFit="1" customWidth="1"/>
    <col min="239" max="239" width="14.5703125" bestFit="1" customWidth="1"/>
    <col min="240" max="240" width="11.28515625" bestFit="1" customWidth="1"/>
    <col min="241" max="241" width="10.5703125" bestFit="1" customWidth="1"/>
    <col min="242" max="243" width="11.28515625" bestFit="1" customWidth="1"/>
    <col min="244" max="244" width="14.5703125" bestFit="1" customWidth="1"/>
    <col min="245" max="245" width="11.42578125" bestFit="1" customWidth="1"/>
    <col min="246" max="246" width="11.7109375" bestFit="1" customWidth="1"/>
    <col min="247" max="247" width="10.85546875" bestFit="1" customWidth="1"/>
    <col min="248" max="248" width="12.140625" bestFit="1" customWidth="1"/>
    <col min="249" max="249" width="14.5703125" bestFit="1" customWidth="1"/>
    <col min="250" max="250" width="10.85546875" bestFit="1" customWidth="1"/>
    <col min="251" max="253" width="14.5703125" bestFit="1" customWidth="1"/>
    <col min="254" max="254" width="11.42578125" bestFit="1" customWidth="1"/>
    <col min="255" max="255" width="11.7109375" bestFit="1" customWidth="1"/>
    <col min="256" max="257" width="14.5703125" bestFit="1" customWidth="1"/>
    <col min="258" max="258" width="11.42578125" bestFit="1" customWidth="1"/>
    <col min="259" max="259" width="12.140625" bestFit="1" customWidth="1"/>
    <col min="260" max="260" width="14.5703125" bestFit="1" customWidth="1"/>
    <col min="261" max="261" width="11.28515625" bestFit="1" customWidth="1"/>
    <col min="262" max="262" width="14.5703125" bestFit="1" customWidth="1"/>
    <col min="263" max="264" width="11.7109375" bestFit="1" customWidth="1"/>
    <col min="265" max="265" width="14.5703125" bestFit="1" customWidth="1"/>
    <col min="266" max="266" width="10.5703125" bestFit="1" customWidth="1"/>
    <col min="267" max="267" width="14.5703125" bestFit="1" customWidth="1"/>
    <col min="268" max="268" width="11.85546875" bestFit="1" customWidth="1"/>
    <col min="269" max="269" width="11.28515625" bestFit="1" customWidth="1"/>
    <col min="270" max="271" width="14.5703125" bestFit="1" customWidth="1"/>
    <col min="272" max="272" width="11.7109375" bestFit="1" customWidth="1"/>
    <col min="273" max="273" width="10.5703125" bestFit="1" customWidth="1"/>
    <col min="274" max="274" width="11.28515625" bestFit="1" customWidth="1"/>
    <col min="275" max="276" width="10.5703125" bestFit="1" customWidth="1"/>
    <col min="277" max="277" width="14.5703125" bestFit="1" customWidth="1"/>
    <col min="278" max="278" width="11.42578125" bestFit="1" customWidth="1"/>
    <col min="279" max="279" width="11.28515625" bestFit="1" customWidth="1"/>
    <col min="280" max="280" width="12.140625" bestFit="1" customWidth="1"/>
    <col min="281" max="281" width="11.28515625" bestFit="1" customWidth="1"/>
    <col min="282" max="282" width="12.140625" bestFit="1" customWidth="1"/>
    <col min="283" max="284" width="14.5703125" bestFit="1" customWidth="1"/>
    <col min="285" max="285" width="11.28515625" bestFit="1" customWidth="1"/>
    <col min="286" max="287" width="14.5703125" bestFit="1" customWidth="1"/>
    <col min="288" max="288" width="12.140625" bestFit="1" customWidth="1"/>
    <col min="289" max="289" width="11.85546875" bestFit="1" customWidth="1"/>
    <col min="290" max="290" width="14.5703125" bestFit="1" customWidth="1"/>
    <col min="291" max="291" width="11.28515625" bestFit="1" customWidth="1"/>
    <col min="292" max="292" width="11.85546875" bestFit="1" customWidth="1"/>
    <col min="293" max="293" width="10.5703125" bestFit="1" customWidth="1"/>
    <col min="294" max="296" width="14.5703125" bestFit="1" customWidth="1"/>
    <col min="297" max="298" width="10.5703125" bestFit="1" customWidth="1"/>
    <col min="299" max="299" width="14.5703125" bestFit="1" customWidth="1"/>
    <col min="300" max="301" width="12.140625" bestFit="1" customWidth="1"/>
    <col min="302" max="302" width="11.7109375" bestFit="1" customWidth="1"/>
    <col min="303" max="304" width="11.28515625" bestFit="1" customWidth="1"/>
    <col min="305" max="306" width="14.5703125" bestFit="1" customWidth="1"/>
    <col min="307" max="307" width="11.42578125" bestFit="1" customWidth="1"/>
    <col min="308" max="308" width="10.5703125" bestFit="1" customWidth="1"/>
    <col min="309" max="309" width="14.5703125" bestFit="1" customWidth="1"/>
    <col min="310" max="310" width="11.42578125" bestFit="1" customWidth="1"/>
    <col min="311" max="312" width="14.5703125" bestFit="1" customWidth="1"/>
    <col min="313" max="314" width="11.7109375" bestFit="1" customWidth="1"/>
    <col min="315" max="316" width="12.140625" bestFit="1" customWidth="1"/>
    <col min="317" max="317" width="14.5703125" bestFit="1" customWidth="1"/>
    <col min="318" max="318" width="11.7109375" bestFit="1" customWidth="1"/>
    <col min="319" max="319" width="11.28515625" bestFit="1" customWidth="1"/>
    <col min="320" max="320" width="14.5703125" bestFit="1" customWidth="1"/>
    <col min="321" max="321" width="10.5703125" bestFit="1" customWidth="1"/>
    <col min="322" max="322" width="12.140625" bestFit="1" customWidth="1"/>
    <col min="323" max="323" width="11.42578125" bestFit="1" customWidth="1"/>
    <col min="324" max="325" width="14.5703125" bestFit="1" customWidth="1"/>
    <col min="326" max="326" width="10.85546875" bestFit="1" customWidth="1"/>
    <col min="327" max="327" width="14.5703125" bestFit="1" customWidth="1"/>
    <col min="328" max="328" width="11.85546875" bestFit="1" customWidth="1"/>
    <col min="329" max="329" width="10.5703125" bestFit="1" customWidth="1"/>
    <col min="330" max="331" width="14.5703125" bestFit="1" customWidth="1"/>
    <col min="332" max="332" width="11.85546875" bestFit="1" customWidth="1"/>
    <col min="333" max="333" width="14.5703125" bestFit="1" customWidth="1"/>
    <col min="334" max="334" width="11.28515625" bestFit="1" customWidth="1"/>
    <col min="335" max="335" width="10.5703125" bestFit="1" customWidth="1"/>
    <col min="336" max="336" width="12.140625" bestFit="1" customWidth="1"/>
    <col min="337" max="339" width="14.5703125" bestFit="1" customWidth="1"/>
    <col min="340" max="340" width="11.28515625" bestFit="1" customWidth="1"/>
    <col min="341" max="341" width="14.5703125" bestFit="1" customWidth="1"/>
    <col min="342" max="342" width="10.5703125" bestFit="1" customWidth="1"/>
    <col min="343" max="344" width="14.5703125" bestFit="1" customWidth="1"/>
    <col min="345" max="346" width="10.5703125" bestFit="1" customWidth="1"/>
    <col min="347" max="347" width="11.85546875" bestFit="1" customWidth="1"/>
    <col min="348" max="348" width="14.5703125" bestFit="1" customWidth="1"/>
    <col min="349" max="349" width="11.28515625" bestFit="1" customWidth="1"/>
    <col min="350" max="350" width="10.5703125" bestFit="1" customWidth="1"/>
    <col min="351" max="351" width="10.85546875" bestFit="1" customWidth="1"/>
    <col min="352" max="352" width="10.5703125" bestFit="1" customWidth="1"/>
    <col min="353" max="353" width="12.140625" bestFit="1" customWidth="1"/>
    <col min="354" max="354" width="10.85546875" bestFit="1" customWidth="1"/>
    <col min="355" max="355" width="11.28515625" bestFit="1" customWidth="1"/>
    <col min="356" max="356" width="14.5703125" bestFit="1" customWidth="1"/>
    <col min="357" max="357" width="10.5703125" bestFit="1" customWidth="1"/>
    <col min="358" max="358" width="14.5703125" bestFit="1" customWidth="1"/>
    <col min="359" max="359" width="11.7109375" bestFit="1" customWidth="1"/>
    <col min="360" max="360" width="11.85546875" bestFit="1" customWidth="1"/>
    <col min="361" max="361" width="11.7109375" bestFit="1" customWidth="1"/>
    <col min="362" max="362" width="11.42578125" bestFit="1" customWidth="1"/>
    <col min="363" max="363" width="11.28515625" bestFit="1" customWidth="1"/>
    <col min="364" max="364" width="14.5703125" bestFit="1" customWidth="1"/>
    <col min="365" max="365" width="11.28515625" bestFit="1" customWidth="1"/>
    <col min="366" max="366" width="11.85546875" bestFit="1" customWidth="1"/>
    <col min="367" max="367" width="11.28515625" bestFit="1" customWidth="1"/>
    <col min="368" max="368" width="10.5703125" bestFit="1" customWidth="1"/>
    <col min="369" max="369" width="11.28515625" bestFit="1" customWidth="1"/>
    <col min="370" max="370" width="14.5703125" bestFit="1" customWidth="1"/>
    <col min="371" max="371" width="11.7109375" bestFit="1" customWidth="1"/>
    <col min="372" max="372" width="14.5703125" bestFit="1" customWidth="1"/>
    <col min="373" max="373" width="11.85546875" bestFit="1" customWidth="1"/>
    <col min="374" max="376" width="14.5703125" bestFit="1" customWidth="1"/>
    <col min="377" max="377" width="12.140625" bestFit="1" customWidth="1"/>
    <col min="378" max="379" width="14.5703125" bestFit="1" customWidth="1"/>
    <col min="380" max="380" width="11.85546875" bestFit="1" customWidth="1"/>
    <col min="381" max="381" width="14.5703125" bestFit="1" customWidth="1"/>
    <col min="382" max="382" width="11.7109375" bestFit="1" customWidth="1"/>
    <col min="383" max="383" width="11.42578125" bestFit="1" customWidth="1"/>
    <col min="384" max="384" width="14.5703125" bestFit="1" customWidth="1"/>
    <col min="385" max="385" width="10.5703125" bestFit="1" customWidth="1"/>
    <col min="386" max="386" width="11.28515625" bestFit="1" customWidth="1"/>
    <col min="387" max="387" width="14.5703125" bestFit="1" customWidth="1"/>
    <col min="388" max="388" width="11.42578125" bestFit="1" customWidth="1"/>
    <col min="389" max="389" width="14.5703125" bestFit="1" customWidth="1"/>
    <col min="390" max="390" width="12.140625" bestFit="1" customWidth="1"/>
    <col min="391" max="391" width="11.28515625" bestFit="1" customWidth="1"/>
    <col min="392" max="392" width="11.85546875" bestFit="1" customWidth="1"/>
    <col min="393" max="393" width="11.7109375" bestFit="1" customWidth="1"/>
    <col min="394" max="394" width="11.28515625" bestFit="1" customWidth="1"/>
    <col min="395" max="395" width="14.5703125" bestFit="1" customWidth="1"/>
    <col min="396" max="396" width="10.85546875" bestFit="1" customWidth="1"/>
    <col min="397" max="397" width="11.7109375" bestFit="1" customWidth="1"/>
    <col min="398" max="398" width="10.85546875" bestFit="1" customWidth="1"/>
    <col min="399" max="399" width="14.5703125" bestFit="1" customWidth="1"/>
    <col min="400" max="400" width="10.5703125" bestFit="1" customWidth="1"/>
    <col min="401" max="401" width="11.7109375" bestFit="1" customWidth="1"/>
    <col min="402" max="402" width="14.5703125" bestFit="1" customWidth="1"/>
    <col min="403" max="403" width="11.85546875" bestFit="1" customWidth="1"/>
    <col min="404" max="404" width="14.5703125" bestFit="1" customWidth="1"/>
    <col min="405" max="405" width="11.7109375" bestFit="1" customWidth="1"/>
    <col min="406" max="406" width="14.5703125" bestFit="1" customWidth="1"/>
    <col min="407" max="407" width="10.5703125" bestFit="1" customWidth="1"/>
    <col min="408" max="408" width="11.28515625" bestFit="1" customWidth="1"/>
    <col min="409" max="411" width="14.5703125" bestFit="1" customWidth="1"/>
    <col min="412" max="412" width="11.28515625" bestFit="1" customWidth="1"/>
    <col min="413" max="413" width="10.5703125" bestFit="1" customWidth="1"/>
    <col min="414" max="415" width="14.5703125" bestFit="1" customWidth="1"/>
    <col min="416" max="416" width="11.42578125" bestFit="1" customWidth="1"/>
    <col min="417" max="418" width="10.85546875" bestFit="1" customWidth="1"/>
    <col min="419" max="419" width="11.85546875" bestFit="1" customWidth="1"/>
    <col min="420" max="421" width="14.5703125" bestFit="1" customWidth="1"/>
    <col min="422" max="422" width="12.140625" bestFit="1" customWidth="1"/>
    <col min="423" max="424" width="14.5703125" bestFit="1" customWidth="1"/>
    <col min="425" max="425" width="11.7109375" bestFit="1" customWidth="1"/>
    <col min="426" max="426" width="11.85546875" bestFit="1" customWidth="1"/>
    <col min="427" max="427" width="10.5703125" bestFit="1" customWidth="1"/>
    <col min="428" max="430" width="14.5703125" bestFit="1" customWidth="1"/>
    <col min="431" max="431" width="11.28515625" bestFit="1" customWidth="1"/>
    <col min="432" max="432" width="11.85546875" bestFit="1" customWidth="1"/>
    <col min="433" max="433" width="11.7109375" bestFit="1" customWidth="1"/>
    <col min="434" max="435" width="14.5703125" bestFit="1" customWidth="1"/>
    <col min="436" max="437" width="10.5703125" bestFit="1" customWidth="1"/>
    <col min="438" max="438" width="11.7109375" bestFit="1" customWidth="1"/>
    <col min="439" max="439" width="12.140625" bestFit="1" customWidth="1"/>
    <col min="440" max="440" width="14.5703125" bestFit="1" customWidth="1"/>
    <col min="441" max="441" width="11.28515625" bestFit="1" customWidth="1"/>
    <col min="442" max="442" width="11.7109375" bestFit="1" customWidth="1"/>
    <col min="443" max="444" width="10.5703125" bestFit="1" customWidth="1"/>
    <col min="445" max="446" width="14.5703125" bestFit="1" customWidth="1"/>
    <col min="447" max="447" width="10.5703125" bestFit="1" customWidth="1"/>
    <col min="448" max="448" width="14.5703125" bestFit="1" customWidth="1"/>
    <col min="449" max="449" width="11.28515625" bestFit="1" customWidth="1"/>
    <col min="450" max="451" width="14.5703125" bestFit="1" customWidth="1"/>
    <col min="452" max="452" width="11.85546875" bestFit="1" customWidth="1"/>
    <col min="453" max="453" width="11.7109375" bestFit="1" customWidth="1"/>
    <col min="454" max="454" width="14.5703125" bestFit="1" customWidth="1"/>
    <col min="455" max="455" width="11.7109375" bestFit="1" customWidth="1"/>
    <col min="456" max="456" width="11.42578125" bestFit="1" customWidth="1"/>
    <col min="457" max="458" width="10.5703125" bestFit="1" customWidth="1"/>
    <col min="459" max="460" width="14.5703125" bestFit="1" customWidth="1"/>
    <col min="461" max="463" width="11.7109375" bestFit="1" customWidth="1"/>
    <col min="464" max="464" width="10.5703125" bestFit="1" customWidth="1"/>
    <col min="465" max="466" width="14.5703125" bestFit="1" customWidth="1"/>
    <col min="467" max="467" width="11.7109375" bestFit="1" customWidth="1"/>
    <col min="468" max="468" width="10.5703125" bestFit="1" customWidth="1"/>
    <col min="469" max="469" width="11.85546875" bestFit="1" customWidth="1"/>
    <col min="470" max="470" width="14.5703125" bestFit="1" customWidth="1"/>
    <col min="471" max="471" width="10.85546875" bestFit="1" customWidth="1"/>
    <col min="472" max="472" width="11.7109375" bestFit="1" customWidth="1"/>
    <col min="473" max="473" width="11.42578125" bestFit="1" customWidth="1"/>
    <col min="474" max="474" width="11.28515625" bestFit="1" customWidth="1"/>
    <col min="475" max="476" width="11.42578125" bestFit="1" customWidth="1"/>
    <col min="477" max="478" width="14.5703125" bestFit="1" customWidth="1"/>
    <col min="479" max="479" width="11.7109375" bestFit="1" customWidth="1"/>
    <col min="480" max="481" width="14.5703125" bestFit="1" customWidth="1"/>
    <col min="482" max="482" width="10.5703125" bestFit="1" customWidth="1"/>
    <col min="483" max="484" width="14.5703125" bestFit="1" customWidth="1"/>
    <col min="485" max="485" width="11.7109375" bestFit="1" customWidth="1"/>
    <col min="486" max="486" width="11.28515625" bestFit="1" customWidth="1"/>
    <col min="487" max="487" width="11.85546875" bestFit="1" customWidth="1"/>
    <col min="488" max="489" width="10.5703125" bestFit="1" customWidth="1"/>
    <col min="490" max="490" width="12.140625" bestFit="1" customWidth="1"/>
    <col min="491" max="491" width="11.42578125" bestFit="1" customWidth="1"/>
    <col min="492" max="492" width="11.7109375" bestFit="1" customWidth="1"/>
    <col min="493" max="495" width="14.5703125" bestFit="1" customWidth="1"/>
    <col min="496" max="498" width="11.28515625" bestFit="1" customWidth="1"/>
    <col min="499" max="499" width="11.7109375" bestFit="1" customWidth="1"/>
    <col min="500" max="501" width="14.5703125" bestFit="1" customWidth="1"/>
    <col min="502" max="503" width="11.7109375" bestFit="1" customWidth="1"/>
    <col min="504" max="504" width="11.28515625" bestFit="1" customWidth="1"/>
    <col min="505" max="505" width="11.7109375" bestFit="1" customWidth="1"/>
    <col min="506" max="506" width="11.42578125" bestFit="1" customWidth="1"/>
    <col min="507" max="508" width="11.28515625" bestFit="1" customWidth="1"/>
    <col min="509" max="509" width="14.5703125" bestFit="1" customWidth="1"/>
    <col min="510" max="510" width="10.85546875" bestFit="1" customWidth="1"/>
    <col min="511" max="511" width="12.140625" bestFit="1" customWidth="1"/>
    <col min="512" max="513" width="14.5703125" bestFit="1" customWidth="1"/>
    <col min="514" max="515" width="11.42578125" bestFit="1" customWidth="1"/>
    <col min="516" max="516" width="11.85546875" bestFit="1" customWidth="1"/>
    <col min="517" max="517" width="14.5703125" bestFit="1" customWidth="1"/>
    <col min="518" max="518" width="11.42578125" bestFit="1" customWidth="1"/>
    <col min="519" max="519" width="11.85546875" bestFit="1" customWidth="1"/>
    <col min="520" max="521" width="14.5703125" bestFit="1" customWidth="1"/>
    <col min="522" max="522" width="10.5703125" bestFit="1" customWidth="1"/>
    <col min="523" max="523" width="14.5703125" bestFit="1" customWidth="1"/>
    <col min="524" max="524" width="10.5703125" bestFit="1" customWidth="1"/>
    <col min="525" max="525" width="10.85546875" bestFit="1" customWidth="1"/>
    <col min="526" max="527" width="14.5703125" bestFit="1" customWidth="1"/>
    <col min="528" max="528" width="11.42578125" bestFit="1" customWidth="1"/>
    <col min="529" max="530" width="14.5703125" bestFit="1" customWidth="1"/>
    <col min="531" max="531" width="12.140625" bestFit="1" customWidth="1"/>
    <col min="532" max="532" width="14.5703125" bestFit="1" customWidth="1"/>
    <col min="533" max="533" width="10.85546875" bestFit="1" customWidth="1"/>
    <col min="534" max="534" width="12.140625" bestFit="1" customWidth="1"/>
    <col min="535" max="535" width="14.5703125" bestFit="1" customWidth="1"/>
    <col min="536" max="536" width="11.7109375" bestFit="1" customWidth="1"/>
    <col min="537" max="538" width="14.5703125" bestFit="1" customWidth="1"/>
    <col min="539" max="539" width="11.28515625" bestFit="1" customWidth="1"/>
    <col min="540" max="540" width="14.5703125" bestFit="1" customWidth="1"/>
    <col min="541" max="541" width="10.5703125" bestFit="1" customWidth="1"/>
    <col min="542" max="542" width="11.28515625" bestFit="1" customWidth="1"/>
    <col min="543" max="543" width="11.7109375" bestFit="1" customWidth="1"/>
    <col min="544" max="544" width="10.5703125" bestFit="1" customWidth="1"/>
    <col min="545" max="546" width="14.5703125" bestFit="1" customWidth="1"/>
    <col min="547" max="547" width="11.28515625" bestFit="1" customWidth="1"/>
    <col min="548" max="548" width="10.5703125" bestFit="1" customWidth="1"/>
    <col min="549" max="549" width="11.28515625" bestFit="1" customWidth="1"/>
    <col min="550" max="551" width="14.5703125" bestFit="1" customWidth="1"/>
    <col min="552" max="552" width="11.85546875" bestFit="1" customWidth="1"/>
    <col min="553" max="553" width="11.28515625" bestFit="1" customWidth="1"/>
    <col min="554" max="554" width="12.140625" bestFit="1" customWidth="1"/>
    <col min="555" max="555" width="14.5703125" bestFit="1" customWidth="1"/>
    <col min="556" max="556" width="11.7109375" bestFit="1" customWidth="1"/>
    <col min="557" max="557" width="14.5703125" bestFit="1" customWidth="1"/>
    <col min="558" max="558" width="10.85546875" bestFit="1" customWidth="1"/>
    <col min="559" max="560" width="14.5703125" bestFit="1" customWidth="1"/>
    <col min="561" max="561" width="11.85546875" bestFit="1" customWidth="1"/>
    <col min="562" max="562" width="14.5703125" bestFit="1" customWidth="1"/>
    <col min="563" max="563" width="10.85546875" bestFit="1" customWidth="1"/>
    <col min="564" max="564" width="11.28515625" bestFit="1" customWidth="1"/>
    <col min="565" max="565" width="10.85546875" bestFit="1" customWidth="1"/>
    <col min="566" max="566" width="10.5703125" bestFit="1" customWidth="1"/>
    <col min="567" max="569" width="14.5703125" bestFit="1" customWidth="1"/>
    <col min="570" max="570" width="10.5703125" bestFit="1" customWidth="1"/>
    <col min="571" max="572" width="14.5703125" bestFit="1" customWidth="1"/>
    <col min="573" max="573" width="11.28515625" bestFit="1" customWidth="1"/>
    <col min="574" max="574" width="11.7109375" bestFit="1" customWidth="1"/>
    <col min="575" max="575" width="10.85546875" bestFit="1" customWidth="1"/>
    <col min="576" max="576" width="12.140625" bestFit="1" customWidth="1"/>
    <col min="577" max="577" width="11.28515625" bestFit="1" customWidth="1"/>
    <col min="578" max="578" width="11.42578125" bestFit="1" customWidth="1"/>
    <col min="579" max="579" width="10.5703125" bestFit="1" customWidth="1"/>
    <col min="580" max="580" width="12.140625" bestFit="1" customWidth="1"/>
    <col min="581" max="581" width="11.28515625" bestFit="1" customWidth="1"/>
    <col min="582" max="583" width="11.7109375" bestFit="1" customWidth="1"/>
    <col min="584" max="584" width="14.5703125" bestFit="1" customWidth="1"/>
    <col min="585" max="585" width="10.5703125" bestFit="1" customWidth="1"/>
    <col min="586" max="586" width="14.5703125" bestFit="1" customWidth="1"/>
    <col min="587" max="590" width="11.28515625" bestFit="1" customWidth="1"/>
    <col min="591" max="591" width="10.85546875" bestFit="1" customWidth="1"/>
    <col min="592" max="592" width="10.5703125" bestFit="1" customWidth="1"/>
    <col min="593" max="593" width="14.5703125" bestFit="1" customWidth="1"/>
    <col min="594" max="594" width="11.7109375" bestFit="1" customWidth="1"/>
    <col min="595" max="595" width="11.85546875" bestFit="1" customWidth="1"/>
    <col min="596" max="598" width="14.5703125" bestFit="1" customWidth="1"/>
    <col min="599" max="599" width="11.7109375" bestFit="1" customWidth="1"/>
    <col min="600" max="600" width="14.5703125" bestFit="1" customWidth="1"/>
    <col min="601" max="601" width="11.28515625" bestFit="1" customWidth="1"/>
    <col min="602" max="604" width="14.5703125" bestFit="1" customWidth="1"/>
    <col min="605" max="605" width="11.7109375" bestFit="1" customWidth="1"/>
    <col min="606" max="606" width="11.28515625" bestFit="1" customWidth="1"/>
    <col min="607" max="607" width="14.5703125" bestFit="1" customWidth="1"/>
    <col min="608" max="608" width="12.140625" bestFit="1" customWidth="1"/>
    <col min="609" max="609" width="11.7109375" bestFit="1" customWidth="1"/>
    <col min="610" max="611" width="14.5703125" bestFit="1" customWidth="1"/>
    <col min="612" max="612" width="10.5703125" bestFit="1" customWidth="1"/>
    <col min="613" max="613" width="14.5703125" bestFit="1" customWidth="1"/>
    <col min="614" max="614" width="11.28515625" bestFit="1" customWidth="1"/>
    <col min="615" max="615" width="12.140625" bestFit="1" customWidth="1"/>
    <col min="616" max="616" width="11.42578125" bestFit="1" customWidth="1"/>
    <col min="617" max="617" width="14.5703125" bestFit="1" customWidth="1"/>
    <col min="618" max="618" width="11.28515625" bestFit="1" customWidth="1"/>
    <col min="619" max="619" width="11.7109375" bestFit="1" customWidth="1"/>
    <col min="620" max="620" width="11.28515625" bestFit="1" customWidth="1"/>
    <col min="621" max="621" width="11.7109375" bestFit="1" customWidth="1"/>
    <col min="622" max="622" width="11.28515625" bestFit="1" customWidth="1"/>
    <col min="623" max="623" width="14.5703125" bestFit="1" customWidth="1"/>
    <col min="624" max="624" width="10.5703125" bestFit="1" customWidth="1"/>
    <col min="625" max="625" width="14.5703125" bestFit="1" customWidth="1"/>
    <col min="626" max="626" width="10.5703125" bestFit="1" customWidth="1"/>
    <col min="627" max="628" width="12.140625" bestFit="1" customWidth="1"/>
    <col min="629" max="629" width="11.7109375" bestFit="1" customWidth="1"/>
    <col min="630" max="630" width="10.5703125" bestFit="1" customWidth="1"/>
    <col min="631" max="632" width="14.5703125" bestFit="1" customWidth="1"/>
    <col min="633" max="633" width="11.42578125" bestFit="1" customWidth="1"/>
    <col min="634" max="634" width="10.85546875" bestFit="1" customWidth="1"/>
    <col min="635" max="637" width="10.5703125" bestFit="1" customWidth="1"/>
    <col min="638" max="638" width="11.28515625" bestFit="1" customWidth="1"/>
    <col min="639" max="640" width="14.5703125" bestFit="1" customWidth="1"/>
    <col min="641" max="641" width="10.5703125" bestFit="1" customWidth="1"/>
    <col min="642" max="642" width="14.5703125" bestFit="1" customWidth="1"/>
    <col min="643" max="643" width="10.5703125" bestFit="1" customWidth="1"/>
    <col min="644" max="644" width="11.28515625" bestFit="1" customWidth="1"/>
    <col min="645" max="645" width="11.7109375" bestFit="1" customWidth="1"/>
    <col min="646" max="646" width="14.5703125" bestFit="1" customWidth="1"/>
    <col min="647" max="647" width="11.7109375" bestFit="1" customWidth="1"/>
    <col min="648" max="648" width="11.85546875" bestFit="1" customWidth="1"/>
    <col min="649" max="649" width="14.5703125" bestFit="1" customWidth="1"/>
    <col min="650" max="651" width="11.28515625" bestFit="1" customWidth="1"/>
    <col min="652" max="652" width="10.5703125" bestFit="1" customWidth="1"/>
    <col min="653" max="653" width="14.5703125" bestFit="1" customWidth="1"/>
    <col min="654" max="654" width="11.7109375" bestFit="1" customWidth="1"/>
    <col min="655" max="655" width="14.5703125" bestFit="1" customWidth="1"/>
    <col min="656" max="656" width="11.28515625" bestFit="1" customWidth="1"/>
    <col min="657" max="657" width="11.85546875" bestFit="1" customWidth="1"/>
    <col min="658" max="658" width="10.5703125" bestFit="1" customWidth="1"/>
    <col min="659" max="659" width="11.85546875" bestFit="1" customWidth="1"/>
    <col min="660" max="660" width="10.85546875" bestFit="1" customWidth="1"/>
    <col min="661" max="662" width="14.5703125" bestFit="1" customWidth="1"/>
    <col min="663" max="664" width="10.5703125" bestFit="1" customWidth="1"/>
    <col min="665" max="666" width="14.5703125" bestFit="1" customWidth="1"/>
    <col min="667" max="667" width="12.140625" bestFit="1" customWidth="1"/>
    <col min="668" max="668" width="14.5703125" bestFit="1" customWidth="1"/>
    <col min="669" max="670" width="10.5703125" bestFit="1" customWidth="1"/>
    <col min="671" max="671" width="11.42578125" bestFit="1" customWidth="1"/>
    <col min="672" max="672" width="11.28515625" bestFit="1" customWidth="1"/>
    <col min="673" max="673" width="10.5703125" bestFit="1" customWidth="1"/>
    <col min="674" max="674" width="14.5703125" bestFit="1" customWidth="1"/>
    <col min="675" max="675" width="11.28515625" bestFit="1" customWidth="1"/>
    <col min="676" max="678" width="14.5703125" bestFit="1" customWidth="1"/>
    <col min="679" max="679" width="10.5703125" bestFit="1" customWidth="1"/>
    <col min="680" max="682" width="14.5703125" bestFit="1" customWidth="1"/>
    <col min="683" max="684" width="11.42578125" bestFit="1" customWidth="1"/>
    <col min="685" max="685" width="11.7109375" bestFit="1" customWidth="1"/>
    <col min="686" max="686" width="11.28515625" bestFit="1" customWidth="1"/>
    <col min="687" max="687" width="14.5703125" bestFit="1" customWidth="1"/>
    <col min="688" max="688" width="11.28515625" bestFit="1" customWidth="1"/>
    <col min="689" max="689" width="11.7109375" bestFit="1" customWidth="1"/>
    <col min="690" max="691" width="10.5703125" bestFit="1" customWidth="1"/>
    <col min="692" max="692" width="11.28515625" bestFit="1" customWidth="1"/>
    <col min="693" max="693" width="14.5703125" bestFit="1" customWidth="1"/>
    <col min="694" max="694" width="10.5703125" bestFit="1" customWidth="1"/>
    <col min="695" max="695" width="14.5703125" bestFit="1" customWidth="1"/>
    <col min="696" max="696" width="10.5703125" bestFit="1" customWidth="1"/>
    <col min="697" max="699" width="14.5703125" bestFit="1" customWidth="1"/>
    <col min="700" max="700" width="11.28515625" bestFit="1" customWidth="1"/>
    <col min="701" max="701" width="10.5703125" bestFit="1" customWidth="1"/>
    <col min="702" max="703" width="14.5703125" bestFit="1" customWidth="1"/>
    <col min="704" max="704" width="11.85546875" bestFit="1" customWidth="1"/>
    <col min="705" max="705" width="11.28515625" bestFit="1" customWidth="1"/>
    <col min="706" max="707" width="14.5703125" bestFit="1" customWidth="1"/>
    <col min="708" max="709" width="10.5703125" bestFit="1" customWidth="1"/>
    <col min="710" max="710" width="11.28515625" bestFit="1" customWidth="1"/>
    <col min="711" max="711" width="11.7109375" bestFit="1" customWidth="1"/>
    <col min="712" max="712" width="10.85546875" bestFit="1" customWidth="1"/>
    <col min="713" max="713" width="11.42578125" bestFit="1" customWidth="1"/>
    <col min="714" max="715" width="11.7109375" bestFit="1" customWidth="1"/>
    <col min="716" max="718" width="14.5703125" bestFit="1" customWidth="1"/>
    <col min="719" max="719" width="11.7109375" bestFit="1" customWidth="1"/>
    <col min="720" max="720" width="11.42578125" bestFit="1" customWidth="1"/>
    <col min="721" max="721" width="14.5703125" bestFit="1" customWidth="1"/>
    <col min="722" max="722" width="11.85546875" bestFit="1" customWidth="1"/>
    <col min="723" max="723" width="11.7109375" bestFit="1" customWidth="1"/>
    <col min="724" max="724" width="11.28515625" bestFit="1" customWidth="1"/>
    <col min="725" max="726" width="14.5703125" bestFit="1" customWidth="1"/>
    <col min="727" max="727" width="11.7109375" bestFit="1" customWidth="1"/>
    <col min="728" max="729" width="14.5703125" bestFit="1" customWidth="1"/>
    <col min="730" max="730" width="10.5703125" bestFit="1" customWidth="1"/>
    <col min="731" max="731" width="11.7109375" bestFit="1" customWidth="1"/>
    <col min="732" max="732" width="12.140625" bestFit="1" customWidth="1"/>
    <col min="733" max="733" width="14.5703125" bestFit="1" customWidth="1"/>
    <col min="734" max="734" width="11.7109375" bestFit="1" customWidth="1"/>
    <col min="735" max="736" width="14.5703125" bestFit="1" customWidth="1"/>
    <col min="737" max="737" width="11.7109375" bestFit="1" customWidth="1"/>
    <col min="738" max="739" width="14.5703125" bestFit="1" customWidth="1"/>
    <col min="740" max="740" width="11.28515625" bestFit="1" customWidth="1"/>
    <col min="741" max="741" width="14.5703125" bestFit="1" customWidth="1"/>
    <col min="742" max="742" width="11.85546875" bestFit="1" customWidth="1"/>
    <col min="743" max="744" width="11.7109375" bestFit="1" customWidth="1"/>
    <col min="745" max="746" width="14.5703125" bestFit="1" customWidth="1"/>
    <col min="747" max="747" width="11.28515625" bestFit="1" customWidth="1"/>
    <col min="748" max="748" width="10.85546875" bestFit="1" customWidth="1"/>
    <col min="749" max="749" width="11.28515625" bestFit="1" customWidth="1"/>
    <col min="750" max="751" width="11.7109375" bestFit="1" customWidth="1"/>
    <col min="752" max="755" width="14.5703125" bestFit="1" customWidth="1"/>
    <col min="756" max="756" width="11.85546875" bestFit="1" customWidth="1"/>
    <col min="757" max="757" width="12.140625" bestFit="1" customWidth="1"/>
    <col min="758" max="758" width="11.7109375" bestFit="1" customWidth="1"/>
    <col min="759" max="760" width="11.28515625" bestFit="1" customWidth="1"/>
    <col min="761" max="762" width="10.5703125" bestFit="1" customWidth="1"/>
    <col min="763" max="763" width="11.28515625" bestFit="1" customWidth="1"/>
    <col min="764" max="765" width="14.5703125" bestFit="1" customWidth="1"/>
    <col min="766" max="767" width="11.28515625" bestFit="1" customWidth="1"/>
    <col min="768" max="769" width="10.5703125" bestFit="1" customWidth="1"/>
    <col min="770" max="771" width="14.5703125" bestFit="1" customWidth="1"/>
    <col min="772" max="772" width="10.5703125" bestFit="1" customWidth="1"/>
    <col min="773" max="774" width="14.5703125" bestFit="1" customWidth="1"/>
    <col min="775" max="775" width="10.5703125" bestFit="1" customWidth="1"/>
    <col min="776" max="776" width="14.5703125" bestFit="1" customWidth="1"/>
    <col min="777" max="777" width="10.5703125" bestFit="1" customWidth="1"/>
    <col min="778" max="778" width="11.7109375" bestFit="1" customWidth="1"/>
    <col min="779" max="779" width="14.5703125" bestFit="1" customWidth="1"/>
    <col min="780" max="780" width="12.140625" bestFit="1" customWidth="1"/>
    <col min="781" max="781" width="14.5703125" bestFit="1" customWidth="1"/>
    <col min="782" max="783" width="11.28515625" bestFit="1" customWidth="1"/>
    <col min="784" max="784" width="11.7109375" bestFit="1" customWidth="1"/>
    <col min="785" max="785" width="10.85546875" bestFit="1" customWidth="1"/>
    <col min="786" max="786" width="12.140625" bestFit="1" customWidth="1"/>
    <col min="787" max="787" width="11.85546875" bestFit="1" customWidth="1"/>
    <col min="788" max="789" width="14.5703125" bestFit="1" customWidth="1"/>
    <col min="790" max="790" width="11.28515625" bestFit="1" customWidth="1"/>
    <col min="791" max="791" width="11.7109375" bestFit="1" customWidth="1"/>
    <col min="792" max="792" width="14.5703125" bestFit="1" customWidth="1"/>
    <col min="793" max="793" width="11.42578125" bestFit="1" customWidth="1"/>
    <col min="794" max="794" width="14.5703125" bestFit="1" customWidth="1"/>
    <col min="795" max="795" width="11.28515625" bestFit="1" customWidth="1"/>
    <col min="796" max="796" width="14.5703125" bestFit="1" customWidth="1"/>
    <col min="797" max="797" width="12.140625" bestFit="1" customWidth="1"/>
    <col min="798" max="798" width="14.5703125" bestFit="1" customWidth="1"/>
    <col min="799" max="799" width="11.7109375" bestFit="1" customWidth="1"/>
    <col min="800" max="800" width="10.5703125" bestFit="1" customWidth="1"/>
    <col min="801" max="801" width="11.28515625" bestFit="1" customWidth="1"/>
    <col min="802" max="803" width="14.5703125" bestFit="1" customWidth="1"/>
    <col min="804" max="806" width="11.7109375" bestFit="1" customWidth="1"/>
    <col min="807" max="808" width="14.5703125" bestFit="1" customWidth="1"/>
    <col min="809" max="809" width="11.28515625" bestFit="1" customWidth="1"/>
    <col min="810" max="810" width="11.42578125" bestFit="1" customWidth="1"/>
    <col min="811" max="811" width="11.28515625" bestFit="1" customWidth="1"/>
    <col min="812" max="812" width="14.5703125" bestFit="1" customWidth="1"/>
    <col min="813" max="813" width="11.85546875" bestFit="1" customWidth="1"/>
    <col min="814" max="814" width="14.5703125" bestFit="1" customWidth="1"/>
    <col min="815" max="815" width="11.7109375" bestFit="1" customWidth="1"/>
    <col min="816" max="816" width="14.5703125" bestFit="1" customWidth="1"/>
    <col min="817" max="817" width="10.5703125" bestFit="1" customWidth="1"/>
    <col min="818" max="818" width="14.5703125" bestFit="1" customWidth="1"/>
    <col min="819" max="819" width="11.7109375" bestFit="1" customWidth="1"/>
    <col min="820" max="820" width="14.5703125" bestFit="1" customWidth="1"/>
    <col min="821" max="821" width="11.42578125" bestFit="1" customWidth="1"/>
    <col min="822" max="822" width="11.28515625" bestFit="1" customWidth="1"/>
    <col min="823" max="823" width="14.5703125" bestFit="1" customWidth="1"/>
    <col min="824" max="825" width="10.5703125" bestFit="1" customWidth="1"/>
    <col min="826" max="826" width="11.85546875" bestFit="1" customWidth="1"/>
    <col min="827" max="827" width="14.5703125" bestFit="1" customWidth="1"/>
    <col min="828" max="829" width="11.28515625" bestFit="1" customWidth="1"/>
    <col min="830" max="834" width="14.5703125" bestFit="1" customWidth="1"/>
    <col min="835" max="836" width="10.5703125" bestFit="1" customWidth="1"/>
    <col min="837" max="837" width="11.28515625" bestFit="1" customWidth="1"/>
    <col min="838" max="838" width="14.5703125" bestFit="1" customWidth="1"/>
    <col min="839" max="839" width="11.85546875" bestFit="1" customWidth="1"/>
    <col min="840" max="841" width="10.85546875" bestFit="1" customWidth="1"/>
    <col min="842" max="842" width="11.42578125" bestFit="1" customWidth="1"/>
    <col min="843" max="843" width="14.5703125" bestFit="1" customWidth="1"/>
    <col min="844" max="844" width="12.140625" bestFit="1" customWidth="1"/>
    <col min="845" max="845" width="10.5703125" bestFit="1" customWidth="1"/>
    <col min="846" max="846" width="11.85546875" bestFit="1" customWidth="1"/>
    <col min="847" max="847" width="11.28515625" bestFit="1" customWidth="1"/>
    <col min="848" max="848" width="11.42578125" bestFit="1" customWidth="1"/>
    <col min="849" max="849" width="11.85546875" bestFit="1" customWidth="1"/>
    <col min="850" max="850" width="10.85546875" bestFit="1" customWidth="1"/>
    <col min="851" max="851" width="14.5703125" bestFit="1" customWidth="1"/>
    <col min="852" max="852" width="11.85546875" bestFit="1" customWidth="1"/>
    <col min="853" max="853" width="14.5703125" bestFit="1" customWidth="1"/>
    <col min="854" max="854" width="11.7109375" bestFit="1" customWidth="1"/>
    <col min="855" max="855" width="11.42578125" bestFit="1" customWidth="1"/>
    <col min="856" max="858" width="14.5703125" bestFit="1" customWidth="1"/>
    <col min="859" max="859" width="11.28515625" bestFit="1" customWidth="1"/>
    <col min="860" max="861" width="14.5703125" bestFit="1" customWidth="1"/>
    <col min="862" max="862" width="11.7109375" bestFit="1" customWidth="1"/>
    <col min="863" max="863" width="12.140625" bestFit="1" customWidth="1"/>
    <col min="864" max="864" width="14.5703125" bestFit="1" customWidth="1"/>
    <col min="865" max="865" width="11.28515625" bestFit="1" customWidth="1"/>
    <col min="866" max="866" width="11.7109375" bestFit="1" customWidth="1"/>
    <col min="867" max="867" width="10.5703125" bestFit="1" customWidth="1"/>
    <col min="868" max="868" width="10.85546875" bestFit="1" customWidth="1"/>
    <col min="869" max="870" width="14.5703125" bestFit="1" customWidth="1"/>
    <col min="871" max="871" width="11.28515625" bestFit="1" customWidth="1"/>
    <col min="872" max="872" width="10.5703125" bestFit="1" customWidth="1"/>
    <col min="873" max="873" width="11.85546875" bestFit="1" customWidth="1"/>
    <col min="874" max="877" width="14.5703125" bestFit="1" customWidth="1"/>
    <col min="878" max="878" width="11.85546875" bestFit="1" customWidth="1"/>
    <col min="879" max="879" width="14.5703125" bestFit="1" customWidth="1"/>
    <col min="880" max="880" width="11.85546875" bestFit="1" customWidth="1"/>
    <col min="881" max="881" width="14.5703125" bestFit="1" customWidth="1"/>
    <col min="882" max="882" width="10.85546875" bestFit="1" customWidth="1"/>
    <col min="883" max="883" width="11.28515625" bestFit="1" customWidth="1"/>
    <col min="884" max="884" width="10.5703125" bestFit="1" customWidth="1"/>
    <col min="885" max="885" width="14.5703125" bestFit="1" customWidth="1"/>
    <col min="886" max="887" width="10.85546875" bestFit="1" customWidth="1"/>
    <col min="888" max="888" width="10.5703125" bestFit="1" customWidth="1"/>
    <col min="889" max="889" width="11.85546875" bestFit="1" customWidth="1"/>
    <col min="890" max="890" width="12.140625" bestFit="1" customWidth="1"/>
    <col min="891" max="891" width="11.28515625" bestFit="1" customWidth="1"/>
    <col min="892" max="892" width="14.5703125" bestFit="1" customWidth="1"/>
    <col min="893" max="893" width="11.7109375" bestFit="1" customWidth="1"/>
    <col min="894" max="894" width="11.28515625" bestFit="1" customWidth="1"/>
    <col min="895" max="895" width="14.5703125" bestFit="1" customWidth="1"/>
    <col min="896" max="896" width="11.85546875" bestFit="1" customWidth="1"/>
    <col min="897" max="897" width="14.5703125" bestFit="1" customWidth="1"/>
    <col min="898" max="898" width="10.85546875" bestFit="1" customWidth="1"/>
    <col min="899" max="900" width="14.5703125" bestFit="1" customWidth="1"/>
    <col min="901" max="901" width="12.140625" bestFit="1" customWidth="1"/>
    <col min="902" max="902" width="10.5703125" bestFit="1" customWidth="1"/>
    <col min="903" max="903" width="14.5703125" bestFit="1" customWidth="1"/>
    <col min="904" max="904" width="11.7109375" bestFit="1" customWidth="1"/>
    <col min="905" max="907" width="14.5703125" bestFit="1" customWidth="1"/>
    <col min="908" max="909" width="11.28515625" bestFit="1" customWidth="1"/>
    <col min="910" max="910" width="12.140625" bestFit="1" customWidth="1"/>
    <col min="911" max="911" width="11.85546875" bestFit="1" customWidth="1"/>
    <col min="912" max="912" width="14.5703125" bestFit="1" customWidth="1"/>
    <col min="913" max="913" width="10.5703125" bestFit="1" customWidth="1"/>
    <col min="914" max="914" width="11.7109375" bestFit="1" customWidth="1"/>
    <col min="915" max="915" width="11.28515625" bestFit="1" customWidth="1"/>
    <col min="916" max="916" width="14.5703125" bestFit="1" customWidth="1"/>
    <col min="917" max="917" width="10.85546875" bestFit="1" customWidth="1"/>
    <col min="918" max="918" width="11.7109375" bestFit="1" customWidth="1"/>
    <col min="919" max="919" width="12.140625" bestFit="1" customWidth="1"/>
    <col min="920" max="920" width="11.85546875" bestFit="1" customWidth="1"/>
    <col min="921" max="921" width="14.5703125" bestFit="1" customWidth="1"/>
    <col min="922" max="922" width="10.5703125" bestFit="1" customWidth="1"/>
    <col min="923" max="923" width="14.5703125" bestFit="1" customWidth="1"/>
    <col min="924" max="924" width="11.85546875" bestFit="1" customWidth="1"/>
    <col min="925" max="925" width="14.5703125" bestFit="1" customWidth="1"/>
    <col min="926" max="926" width="11.42578125" bestFit="1" customWidth="1"/>
    <col min="927" max="927" width="11.28515625" bestFit="1" customWidth="1"/>
    <col min="928" max="928" width="11.42578125" bestFit="1" customWidth="1"/>
    <col min="929" max="929" width="14.5703125" bestFit="1" customWidth="1"/>
    <col min="930" max="930" width="12.140625" bestFit="1" customWidth="1"/>
    <col min="931" max="932" width="14.5703125" bestFit="1" customWidth="1"/>
    <col min="933" max="933" width="11.28515625" bestFit="1" customWidth="1"/>
    <col min="934" max="934" width="14.5703125" bestFit="1" customWidth="1"/>
    <col min="935" max="935" width="11.28515625" bestFit="1" customWidth="1"/>
    <col min="936" max="936" width="12.140625" bestFit="1" customWidth="1"/>
    <col min="937" max="937" width="14.5703125" bestFit="1" customWidth="1"/>
    <col min="938" max="938" width="11.28515625" bestFit="1" customWidth="1"/>
    <col min="939" max="939" width="11.85546875" bestFit="1" customWidth="1"/>
    <col min="940" max="940" width="11.28515625" bestFit="1" customWidth="1"/>
    <col min="941" max="941" width="11.7109375" bestFit="1" customWidth="1"/>
    <col min="942" max="942" width="14.5703125" bestFit="1" customWidth="1"/>
    <col min="943" max="943" width="11.85546875" bestFit="1" customWidth="1"/>
    <col min="944" max="944" width="14.5703125" bestFit="1" customWidth="1"/>
    <col min="945" max="945" width="10.85546875" bestFit="1" customWidth="1"/>
    <col min="946" max="946" width="11.7109375" bestFit="1" customWidth="1"/>
    <col min="947" max="947" width="10.5703125" bestFit="1" customWidth="1"/>
    <col min="948" max="949" width="11.42578125" bestFit="1" customWidth="1"/>
    <col min="950" max="950" width="11.28515625" bestFit="1" customWidth="1"/>
    <col min="951" max="951" width="14.5703125" bestFit="1" customWidth="1"/>
    <col min="952" max="952" width="11.7109375" bestFit="1" customWidth="1"/>
    <col min="953" max="954" width="14.5703125" bestFit="1" customWidth="1"/>
    <col min="955" max="955" width="11.85546875" bestFit="1" customWidth="1"/>
    <col min="956" max="956" width="11.7109375" bestFit="1" customWidth="1"/>
    <col min="957" max="958" width="11.28515625" bestFit="1" customWidth="1"/>
    <col min="959" max="960" width="14.5703125" bestFit="1" customWidth="1"/>
    <col min="961" max="961" width="12.140625" bestFit="1" customWidth="1"/>
    <col min="962" max="962" width="14.5703125" bestFit="1" customWidth="1"/>
    <col min="963" max="963" width="11.42578125" bestFit="1" customWidth="1"/>
    <col min="964" max="964" width="10.5703125" bestFit="1" customWidth="1"/>
    <col min="965" max="965" width="11.28515625" bestFit="1" customWidth="1"/>
    <col min="966" max="966" width="12.140625" bestFit="1" customWidth="1"/>
    <col min="967" max="967" width="11.28515625" bestFit="1" customWidth="1"/>
    <col min="968" max="969" width="14.5703125" bestFit="1" customWidth="1"/>
    <col min="970" max="970" width="12.140625" bestFit="1" customWidth="1"/>
    <col min="971" max="971" width="11.85546875" bestFit="1" customWidth="1"/>
    <col min="972" max="972" width="14.5703125" bestFit="1" customWidth="1"/>
    <col min="973" max="973" width="10.5703125" bestFit="1" customWidth="1"/>
    <col min="974" max="974" width="11.7109375" bestFit="1" customWidth="1"/>
    <col min="975" max="976" width="11.28515625" bestFit="1" customWidth="1"/>
    <col min="977" max="977" width="10.5703125" bestFit="1" customWidth="1"/>
    <col min="978" max="978" width="14.5703125" bestFit="1" customWidth="1"/>
    <col min="979" max="979" width="11.28515625" bestFit="1" customWidth="1"/>
    <col min="980" max="980" width="10.5703125" bestFit="1" customWidth="1"/>
    <col min="981" max="982" width="14.5703125" bestFit="1" customWidth="1"/>
    <col min="983" max="983" width="10.5703125" bestFit="1" customWidth="1"/>
    <col min="984" max="984" width="11.85546875" bestFit="1" customWidth="1"/>
    <col min="985" max="985" width="14.5703125" bestFit="1" customWidth="1"/>
    <col min="986" max="986" width="10.5703125" bestFit="1" customWidth="1"/>
    <col min="987" max="987" width="11.7109375" bestFit="1" customWidth="1"/>
    <col min="988" max="988" width="14.5703125" bestFit="1" customWidth="1"/>
    <col min="989" max="989" width="11.85546875" bestFit="1" customWidth="1"/>
    <col min="990" max="990" width="11.28515625" bestFit="1" customWidth="1"/>
    <col min="991" max="991" width="10.5703125" bestFit="1" customWidth="1"/>
    <col min="992" max="992" width="10.85546875" bestFit="1" customWidth="1"/>
    <col min="993" max="993" width="11.85546875" bestFit="1" customWidth="1"/>
    <col min="994" max="994" width="11.7109375" bestFit="1" customWidth="1"/>
    <col min="995" max="995" width="14.5703125" bestFit="1" customWidth="1"/>
    <col min="996" max="996" width="11.85546875" bestFit="1" customWidth="1"/>
    <col min="997" max="997" width="10.5703125" bestFit="1" customWidth="1"/>
    <col min="998" max="998" width="11.7109375" bestFit="1" customWidth="1"/>
    <col min="999" max="999" width="10.5703125" bestFit="1" customWidth="1"/>
    <col min="1000" max="1000" width="11.7109375" bestFit="1" customWidth="1"/>
    <col min="1001" max="1002" width="14.5703125" bestFit="1" customWidth="1"/>
    <col min="1003" max="1003" width="11.85546875" bestFit="1" customWidth="1"/>
    <col min="1004" max="1004" width="14.5703125" bestFit="1" customWidth="1"/>
    <col min="1005" max="1005" width="11.42578125" bestFit="1" customWidth="1"/>
    <col min="1006" max="1006" width="14.5703125" bestFit="1" customWidth="1"/>
    <col min="1007" max="1007" width="11.7109375" bestFit="1" customWidth="1"/>
    <col min="1008" max="1009" width="11.28515625" bestFit="1" customWidth="1"/>
    <col min="1010" max="1010" width="14.5703125" bestFit="1" customWidth="1"/>
    <col min="1011" max="1012" width="11.28515625" bestFit="1" customWidth="1"/>
    <col min="1013" max="1013" width="14.5703125" bestFit="1" customWidth="1"/>
    <col min="1014" max="1015" width="11.28515625" bestFit="1" customWidth="1"/>
    <col min="1016" max="1016" width="14.5703125" bestFit="1" customWidth="1"/>
  </cols>
  <sheetData>
    <row r="1" spans="1:1016" x14ac:dyDescent="0.25">
      <c r="A1" s="2" t="s">
        <v>0</v>
      </c>
      <c r="B1" s="2" t="s">
        <v>1</v>
      </c>
      <c r="C1" s="2" t="s">
        <v>2</v>
      </c>
      <c r="D1" s="2" t="s">
        <v>3</v>
      </c>
      <c r="E1" s="2" t="s">
        <v>4</v>
      </c>
      <c r="F1" s="2" t="s">
        <v>5</v>
      </c>
      <c r="G1" s="2" t="s">
        <v>6</v>
      </c>
      <c r="H1" s="2" t="s">
        <v>7</v>
      </c>
      <c r="I1" s="3" t="s">
        <v>8</v>
      </c>
      <c r="J1" s="2" t="s">
        <v>9</v>
      </c>
      <c r="K1" s="2" t="s">
        <v>1056</v>
      </c>
      <c r="L1" s="2" t="s">
        <v>1057</v>
      </c>
    </row>
    <row r="2" spans="1:1016" x14ac:dyDescent="0.25">
      <c r="A2" t="s">
        <v>10</v>
      </c>
      <c r="B2" s="1">
        <v>45254</v>
      </c>
      <c r="C2" t="s">
        <v>1010</v>
      </c>
      <c r="D2" t="s">
        <v>1014</v>
      </c>
      <c r="E2" t="s">
        <v>1022</v>
      </c>
      <c r="F2" t="s">
        <v>1032</v>
      </c>
      <c r="G2">
        <v>5</v>
      </c>
      <c r="H2">
        <v>24605</v>
      </c>
      <c r="I2">
        <v>20</v>
      </c>
      <c r="J2" t="s">
        <v>1035</v>
      </c>
      <c r="K2">
        <v>98420</v>
      </c>
      <c r="M2">
        <f>SUM(Table1[Total Sales])</f>
        <v>127586401.8999999</v>
      </c>
    </row>
    <row r="3" spans="1:1016" x14ac:dyDescent="0.25">
      <c r="A3" t="s">
        <v>11</v>
      </c>
      <c r="B3" s="1">
        <v>44984</v>
      </c>
      <c r="C3" t="s">
        <v>1011</v>
      </c>
      <c r="D3" t="s">
        <v>1015</v>
      </c>
      <c r="E3" t="s">
        <v>1023</v>
      </c>
      <c r="F3" t="s">
        <v>1033</v>
      </c>
      <c r="G3">
        <v>8</v>
      </c>
      <c r="H3">
        <v>3348</v>
      </c>
      <c r="I3">
        <v>10</v>
      </c>
      <c r="J3" t="s">
        <v>1035</v>
      </c>
      <c r="K3">
        <v>24105.599999999999</v>
      </c>
    </row>
    <row r="4" spans="1:1016" x14ac:dyDescent="0.25">
      <c r="A4" t="s">
        <v>12</v>
      </c>
      <c r="B4" s="1">
        <v>44939</v>
      </c>
      <c r="C4" t="s">
        <v>1012</v>
      </c>
      <c r="D4" t="s">
        <v>1016</v>
      </c>
      <c r="E4" t="s">
        <v>1022</v>
      </c>
      <c r="F4" t="s">
        <v>1033</v>
      </c>
      <c r="G4">
        <v>3</v>
      </c>
      <c r="H4">
        <v>7103</v>
      </c>
      <c r="I4">
        <v>20</v>
      </c>
      <c r="J4" t="s">
        <v>1036</v>
      </c>
      <c r="K4">
        <v>17047.2</v>
      </c>
      <c r="P4" s="26" t="s">
        <v>1081</v>
      </c>
      <c r="Q4" s="26"/>
    </row>
    <row r="5" spans="1:1016" x14ac:dyDescent="0.25">
      <c r="A5" t="s">
        <v>13</v>
      </c>
      <c r="B5" s="1">
        <v>45067</v>
      </c>
      <c r="C5" t="s">
        <v>1012</v>
      </c>
      <c r="D5" t="s">
        <v>1017</v>
      </c>
      <c r="E5" t="s">
        <v>1024</v>
      </c>
      <c r="F5" t="s">
        <v>1034</v>
      </c>
      <c r="G5">
        <v>9</v>
      </c>
      <c r="H5">
        <v>20614</v>
      </c>
      <c r="I5">
        <v>20</v>
      </c>
      <c r="J5" t="s">
        <v>1037</v>
      </c>
      <c r="K5">
        <v>148420.79999999999</v>
      </c>
      <c r="P5">
        <f>SUMIFS(Table1[[#All],[Total Sales]], Table1[[#All],[Salesperson]], "A*", Table1[[#All],[Category]], "Electronics")</f>
        <v>12517813.499999998</v>
      </c>
      <c r="Q5">
        <f>SUMIF(Table1[[#All],[Salesperson]], "R*", Table1[[#All],[Total Sales]] )</f>
        <v>32914296.300000016</v>
      </c>
    </row>
    <row r="6" spans="1:1016" x14ac:dyDescent="0.25">
      <c r="A6" t="s">
        <v>14</v>
      </c>
      <c r="B6" s="1">
        <v>45052</v>
      </c>
      <c r="C6" t="s">
        <v>1013</v>
      </c>
      <c r="D6" t="s">
        <v>1017</v>
      </c>
      <c r="E6" t="s">
        <v>1023</v>
      </c>
      <c r="F6" t="s">
        <v>1034</v>
      </c>
      <c r="G6">
        <v>5</v>
      </c>
      <c r="H6">
        <v>22156</v>
      </c>
      <c r="I6">
        <v>5</v>
      </c>
      <c r="J6" t="s">
        <v>1035</v>
      </c>
      <c r="K6">
        <v>105241</v>
      </c>
      <c r="N6" s="19" t="s">
        <v>0</v>
      </c>
      <c r="O6" s="19" t="s">
        <v>3</v>
      </c>
    </row>
    <row r="7" spans="1:1016" x14ac:dyDescent="0.25">
      <c r="A7" t="s">
        <v>15</v>
      </c>
      <c r="B7" s="1">
        <v>45041</v>
      </c>
      <c r="C7" t="s">
        <v>1012</v>
      </c>
      <c r="D7" t="s">
        <v>1015</v>
      </c>
      <c r="E7" t="s">
        <v>1025</v>
      </c>
      <c r="F7" t="s">
        <v>1034</v>
      </c>
      <c r="G7">
        <v>7</v>
      </c>
      <c r="H7">
        <v>25154</v>
      </c>
      <c r="I7">
        <v>15</v>
      </c>
      <c r="J7" t="s">
        <v>1037</v>
      </c>
      <c r="K7">
        <v>149666.29999999999</v>
      </c>
      <c r="N7" s="13" t="s">
        <v>15</v>
      </c>
      <c r="O7" t="str">
        <f>VLOOKUP(N7,Table1[], 4, 0)</f>
        <v>Rahul</v>
      </c>
      <c r="P7" s="26" t="s">
        <v>1082</v>
      </c>
      <c r="Q7" s="26"/>
    </row>
    <row r="8" spans="1:1016" x14ac:dyDescent="0.25">
      <c r="A8" t="s">
        <v>16</v>
      </c>
      <c r="B8" s="1">
        <v>44998</v>
      </c>
      <c r="C8" t="s">
        <v>1011</v>
      </c>
      <c r="D8" t="s">
        <v>1015</v>
      </c>
      <c r="E8" t="s">
        <v>1026</v>
      </c>
      <c r="F8" t="s">
        <v>1033</v>
      </c>
      <c r="G8">
        <v>4</v>
      </c>
      <c r="H8">
        <v>25834</v>
      </c>
      <c r="I8">
        <v>5</v>
      </c>
      <c r="J8" t="s">
        <v>1037</v>
      </c>
      <c r="K8">
        <v>98169.2</v>
      </c>
      <c r="P8">
        <f>COUNTIF(Table1[[#All],[Category]], "Accessories")</f>
        <v>297</v>
      </c>
      <c r="Q8">
        <f>COUNTIFS(Table1[[#All],[Category]], "Electronics", Table1[[#All],[Total Sales]], "&gt;100000")</f>
        <v>152</v>
      </c>
    </row>
    <row r="9" spans="1:1016" x14ac:dyDescent="0.25">
      <c r="A9" t="s">
        <v>17</v>
      </c>
      <c r="B9" s="1">
        <v>44979</v>
      </c>
      <c r="C9" t="s">
        <v>1011</v>
      </c>
      <c r="D9" t="s">
        <v>1016</v>
      </c>
      <c r="E9" t="s">
        <v>1027</v>
      </c>
      <c r="F9" t="s">
        <v>1034</v>
      </c>
      <c r="G9">
        <v>10</v>
      </c>
      <c r="H9">
        <v>5434</v>
      </c>
      <c r="I9">
        <v>10</v>
      </c>
      <c r="J9" t="s">
        <v>1038</v>
      </c>
      <c r="K9">
        <v>48906</v>
      </c>
      <c r="N9" s="19" t="s">
        <v>0</v>
      </c>
      <c r="O9" s="13" t="s">
        <v>20</v>
      </c>
    </row>
    <row r="10" spans="1:1016" x14ac:dyDescent="0.25">
      <c r="A10" t="s">
        <v>18</v>
      </c>
      <c r="B10" s="1">
        <v>45273</v>
      </c>
      <c r="C10" t="s">
        <v>1012</v>
      </c>
      <c r="D10" t="s">
        <v>1016</v>
      </c>
      <c r="E10" t="s">
        <v>1023</v>
      </c>
      <c r="F10" t="s">
        <v>1034</v>
      </c>
      <c r="G10">
        <v>3</v>
      </c>
      <c r="H10">
        <v>29005</v>
      </c>
      <c r="I10">
        <v>0</v>
      </c>
      <c r="J10" t="s">
        <v>1035</v>
      </c>
      <c r="K10">
        <v>87015</v>
      </c>
      <c r="N10" s="19" t="s">
        <v>3</v>
      </c>
      <c r="O10" t="str">
        <f>HLOOKUP(O9, N12:XFD22, 4, 0)</f>
        <v>Ravi</v>
      </c>
    </row>
    <row r="11" spans="1:1016" x14ac:dyDescent="0.25">
      <c r="A11" t="s">
        <v>19</v>
      </c>
      <c r="B11" s="1">
        <v>45206</v>
      </c>
      <c r="C11" t="s">
        <v>1013</v>
      </c>
      <c r="D11" t="s">
        <v>1015</v>
      </c>
      <c r="E11" t="s">
        <v>1026</v>
      </c>
      <c r="F11" t="s">
        <v>1033</v>
      </c>
      <c r="G11">
        <v>1</v>
      </c>
      <c r="H11">
        <v>37075</v>
      </c>
      <c r="I11">
        <v>5</v>
      </c>
      <c r="J11" t="s">
        <v>1038</v>
      </c>
      <c r="K11">
        <v>35221.25</v>
      </c>
    </row>
    <row r="12" spans="1:1016" x14ac:dyDescent="0.25">
      <c r="A12" t="s">
        <v>20</v>
      </c>
      <c r="B12" s="1">
        <v>44971</v>
      </c>
      <c r="C12" t="s">
        <v>1013</v>
      </c>
      <c r="D12" t="s">
        <v>1018</v>
      </c>
      <c r="E12" t="s">
        <v>1028</v>
      </c>
      <c r="F12" t="s">
        <v>1034</v>
      </c>
      <c r="G12">
        <v>9</v>
      </c>
      <c r="H12">
        <v>5254</v>
      </c>
      <c r="I12">
        <v>0</v>
      </c>
      <c r="J12" t="s">
        <v>1036</v>
      </c>
      <c r="K12">
        <v>47286</v>
      </c>
      <c r="N12" s="13" t="s">
        <v>10</v>
      </c>
      <c r="O12" s="16" t="s">
        <v>11</v>
      </c>
      <c r="P12" s="13" t="s">
        <v>12</v>
      </c>
      <c r="Q12" s="16" t="s">
        <v>13</v>
      </c>
      <c r="R12" s="13" t="s">
        <v>14</v>
      </c>
      <c r="S12" s="16" t="s">
        <v>15</v>
      </c>
      <c r="T12" s="13" t="s">
        <v>16</v>
      </c>
      <c r="U12" s="16" t="s">
        <v>17</v>
      </c>
      <c r="V12" s="13" t="s">
        <v>18</v>
      </c>
      <c r="W12" s="16" t="s">
        <v>19</v>
      </c>
      <c r="X12" s="13" t="s">
        <v>20</v>
      </c>
      <c r="Y12" s="16" t="s">
        <v>21</v>
      </c>
      <c r="Z12" s="13" t="s">
        <v>22</v>
      </c>
      <c r="AA12" s="16" t="s">
        <v>23</v>
      </c>
      <c r="AB12" s="13" t="s">
        <v>24</v>
      </c>
      <c r="AC12" s="16" t="s">
        <v>25</v>
      </c>
      <c r="AD12" s="13" t="s">
        <v>26</v>
      </c>
      <c r="AE12" s="16" t="s">
        <v>27</v>
      </c>
      <c r="AF12" s="13" t="s">
        <v>28</v>
      </c>
      <c r="AG12" s="16" t="s">
        <v>29</v>
      </c>
      <c r="AH12" s="13" t="s">
        <v>30</v>
      </c>
      <c r="AI12" s="16" t="s">
        <v>31</v>
      </c>
      <c r="AJ12" s="13" t="s">
        <v>32</v>
      </c>
      <c r="AK12" s="16" t="s">
        <v>33</v>
      </c>
      <c r="AL12" s="13" t="s">
        <v>34</v>
      </c>
      <c r="AM12" s="16" t="s">
        <v>35</v>
      </c>
      <c r="AN12" s="13" t="s">
        <v>36</v>
      </c>
      <c r="AO12" s="16" t="s">
        <v>37</v>
      </c>
      <c r="AP12" s="13" t="s">
        <v>38</v>
      </c>
      <c r="AQ12" s="16" t="s">
        <v>39</v>
      </c>
      <c r="AR12" s="13" t="s">
        <v>40</v>
      </c>
      <c r="AS12" s="16" t="s">
        <v>41</v>
      </c>
      <c r="AT12" s="13" t="s">
        <v>42</v>
      </c>
      <c r="AU12" s="16" t="s">
        <v>43</v>
      </c>
      <c r="AV12" s="13" t="s">
        <v>44</v>
      </c>
      <c r="AW12" s="16" t="s">
        <v>45</v>
      </c>
      <c r="AX12" s="13" t="s">
        <v>46</v>
      </c>
      <c r="AY12" s="16" t="s">
        <v>47</v>
      </c>
      <c r="AZ12" s="13" t="s">
        <v>48</v>
      </c>
      <c r="BA12" s="16" t="s">
        <v>49</v>
      </c>
      <c r="BB12" s="13" t="s">
        <v>50</v>
      </c>
      <c r="BC12" s="16" t="s">
        <v>51</v>
      </c>
      <c r="BD12" s="13" t="s">
        <v>52</v>
      </c>
      <c r="BE12" s="16" t="s">
        <v>53</v>
      </c>
      <c r="BF12" s="13" t="s">
        <v>54</v>
      </c>
      <c r="BG12" s="16" t="s">
        <v>55</v>
      </c>
      <c r="BH12" s="13" t="s">
        <v>56</v>
      </c>
      <c r="BI12" s="16" t="s">
        <v>57</v>
      </c>
      <c r="BJ12" s="13" t="s">
        <v>58</v>
      </c>
      <c r="BK12" s="16" t="s">
        <v>59</v>
      </c>
      <c r="BL12" s="13" t="s">
        <v>60</v>
      </c>
      <c r="BM12" s="16" t="s">
        <v>61</v>
      </c>
      <c r="BN12" s="13" t="s">
        <v>62</v>
      </c>
      <c r="BO12" s="16" t="s">
        <v>63</v>
      </c>
      <c r="BP12" s="13" t="s">
        <v>64</v>
      </c>
      <c r="BQ12" s="16" t="s">
        <v>65</v>
      </c>
      <c r="BR12" s="13" t="s">
        <v>66</v>
      </c>
      <c r="BS12" s="16" t="s">
        <v>67</v>
      </c>
      <c r="BT12" s="13" t="s">
        <v>68</v>
      </c>
      <c r="BU12" s="16" t="s">
        <v>69</v>
      </c>
      <c r="BV12" s="13" t="s">
        <v>70</v>
      </c>
      <c r="BW12" s="16" t="s">
        <v>71</v>
      </c>
      <c r="BX12" s="13" t="s">
        <v>72</v>
      </c>
      <c r="BY12" s="16" t="s">
        <v>73</v>
      </c>
      <c r="BZ12" s="13" t="s">
        <v>74</v>
      </c>
      <c r="CA12" s="16" t="s">
        <v>75</v>
      </c>
      <c r="CB12" s="13" t="s">
        <v>76</v>
      </c>
      <c r="CC12" s="16" t="s">
        <v>77</v>
      </c>
      <c r="CD12" s="13" t="s">
        <v>78</v>
      </c>
      <c r="CE12" s="16" t="s">
        <v>79</v>
      </c>
      <c r="CF12" s="13" t="s">
        <v>80</v>
      </c>
      <c r="CG12" s="16" t="s">
        <v>81</v>
      </c>
      <c r="CH12" s="13" t="s">
        <v>82</v>
      </c>
      <c r="CI12" s="16" t="s">
        <v>83</v>
      </c>
      <c r="CJ12" s="13" t="s">
        <v>84</v>
      </c>
      <c r="CK12" s="16" t="s">
        <v>85</v>
      </c>
      <c r="CL12" s="13" t="s">
        <v>86</v>
      </c>
      <c r="CM12" s="16" t="s">
        <v>87</v>
      </c>
      <c r="CN12" s="13" t="s">
        <v>88</v>
      </c>
      <c r="CO12" s="16" t="s">
        <v>89</v>
      </c>
      <c r="CP12" s="13" t="s">
        <v>90</v>
      </c>
      <c r="CQ12" s="16" t="s">
        <v>91</v>
      </c>
      <c r="CR12" s="13" t="s">
        <v>92</v>
      </c>
      <c r="CS12" s="16" t="s">
        <v>93</v>
      </c>
      <c r="CT12" s="13" t="s">
        <v>94</v>
      </c>
      <c r="CU12" s="16" t="s">
        <v>95</v>
      </c>
      <c r="CV12" s="13" t="s">
        <v>96</v>
      </c>
      <c r="CW12" s="16" t="s">
        <v>97</v>
      </c>
      <c r="CX12" s="13" t="s">
        <v>98</v>
      </c>
      <c r="CY12" s="16" t="s">
        <v>99</v>
      </c>
      <c r="CZ12" s="13" t="s">
        <v>100</v>
      </c>
      <c r="DA12" s="16" t="s">
        <v>101</v>
      </c>
      <c r="DB12" s="13" t="s">
        <v>102</v>
      </c>
      <c r="DC12" s="16" t="s">
        <v>103</v>
      </c>
      <c r="DD12" s="13" t="s">
        <v>104</v>
      </c>
      <c r="DE12" s="16" t="s">
        <v>105</v>
      </c>
      <c r="DF12" s="13" t="s">
        <v>106</v>
      </c>
      <c r="DG12" s="16" t="s">
        <v>107</v>
      </c>
      <c r="DH12" s="13" t="s">
        <v>108</v>
      </c>
      <c r="DI12" s="16" t="s">
        <v>109</v>
      </c>
      <c r="DJ12" s="13" t="s">
        <v>110</v>
      </c>
      <c r="DK12" s="16" t="s">
        <v>111</v>
      </c>
      <c r="DL12" s="13" t="s">
        <v>112</v>
      </c>
      <c r="DM12" s="16" t="s">
        <v>113</v>
      </c>
      <c r="DN12" s="13" t="s">
        <v>114</v>
      </c>
      <c r="DO12" s="16" t="s">
        <v>115</v>
      </c>
      <c r="DP12" s="13" t="s">
        <v>116</v>
      </c>
      <c r="DQ12" s="16" t="s">
        <v>117</v>
      </c>
      <c r="DR12" s="13" t="s">
        <v>118</v>
      </c>
      <c r="DS12" s="16" t="s">
        <v>119</v>
      </c>
      <c r="DT12" s="13" t="s">
        <v>120</v>
      </c>
      <c r="DU12" s="16" t="s">
        <v>121</v>
      </c>
      <c r="DV12" s="13" t="s">
        <v>122</v>
      </c>
      <c r="DW12" s="16" t="s">
        <v>123</v>
      </c>
      <c r="DX12" s="13" t="s">
        <v>124</v>
      </c>
      <c r="DY12" s="16" t="s">
        <v>125</v>
      </c>
      <c r="DZ12" s="13" t="s">
        <v>126</v>
      </c>
      <c r="EA12" s="16" t="s">
        <v>127</v>
      </c>
      <c r="EB12" s="13" t="s">
        <v>128</v>
      </c>
      <c r="EC12" s="16" t="s">
        <v>129</v>
      </c>
      <c r="ED12" s="13" t="s">
        <v>130</v>
      </c>
      <c r="EE12" s="16" t="s">
        <v>131</v>
      </c>
      <c r="EF12" s="13" t="s">
        <v>132</v>
      </c>
      <c r="EG12" s="16" t="s">
        <v>133</v>
      </c>
      <c r="EH12" s="13" t="s">
        <v>134</v>
      </c>
      <c r="EI12" s="16" t="s">
        <v>135</v>
      </c>
      <c r="EJ12" s="13" t="s">
        <v>136</v>
      </c>
      <c r="EK12" s="16" t="s">
        <v>137</v>
      </c>
      <c r="EL12" s="13" t="s">
        <v>138</v>
      </c>
      <c r="EM12" s="16" t="s">
        <v>139</v>
      </c>
      <c r="EN12" s="13" t="s">
        <v>140</v>
      </c>
      <c r="EO12" s="16" t="s">
        <v>141</v>
      </c>
      <c r="EP12" s="13" t="s">
        <v>142</v>
      </c>
      <c r="EQ12" s="16" t="s">
        <v>143</v>
      </c>
      <c r="ER12" s="13" t="s">
        <v>144</v>
      </c>
      <c r="ES12" s="16" t="s">
        <v>145</v>
      </c>
      <c r="ET12" s="13" t="s">
        <v>146</v>
      </c>
      <c r="EU12" s="16" t="s">
        <v>147</v>
      </c>
      <c r="EV12" s="13" t="s">
        <v>148</v>
      </c>
      <c r="EW12" s="16" t="s">
        <v>149</v>
      </c>
      <c r="EX12" s="13" t="s">
        <v>150</v>
      </c>
      <c r="EY12" s="16" t="s">
        <v>151</v>
      </c>
      <c r="EZ12" s="13" t="s">
        <v>152</v>
      </c>
      <c r="FA12" s="16" t="s">
        <v>153</v>
      </c>
      <c r="FB12" s="13" t="s">
        <v>154</v>
      </c>
      <c r="FC12" s="16" t="s">
        <v>155</v>
      </c>
      <c r="FD12" s="13" t="s">
        <v>156</v>
      </c>
      <c r="FE12" s="16" t="s">
        <v>157</v>
      </c>
      <c r="FF12" s="13" t="s">
        <v>158</v>
      </c>
      <c r="FG12" s="16" t="s">
        <v>159</v>
      </c>
      <c r="FH12" s="13" t="s">
        <v>160</v>
      </c>
      <c r="FI12" s="16" t="s">
        <v>161</v>
      </c>
      <c r="FJ12" s="13" t="s">
        <v>162</v>
      </c>
      <c r="FK12" s="16" t="s">
        <v>163</v>
      </c>
      <c r="FL12" s="13" t="s">
        <v>164</v>
      </c>
      <c r="FM12" s="16" t="s">
        <v>165</v>
      </c>
      <c r="FN12" s="13" t="s">
        <v>166</v>
      </c>
      <c r="FO12" s="16" t="s">
        <v>167</v>
      </c>
      <c r="FP12" s="13" t="s">
        <v>168</v>
      </c>
      <c r="FQ12" s="16" t="s">
        <v>169</v>
      </c>
      <c r="FR12" s="13" t="s">
        <v>170</v>
      </c>
      <c r="FS12" s="16" t="s">
        <v>171</v>
      </c>
      <c r="FT12" s="13" t="s">
        <v>172</v>
      </c>
      <c r="FU12" s="16" t="s">
        <v>173</v>
      </c>
      <c r="FV12" s="13" t="s">
        <v>174</v>
      </c>
      <c r="FW12" s="16" t="s">
        <v>175</v>
      </c>
      <c r="FX12" s="13" t="s">
        <v>176</v>
      </c>
      <c r="FY12" s="16" t="s">
        <v>177</v>
      </c>
      <c r="FZ12" s="13" t="s">
        <v>178</v>
      </c>
      <c r="GA12" s="16" t="s">
        <v>179</v>
      </c>
      <c r="GB12" s="13" t="s">
        <v>180</v>
      </c>
      <c r="GC12" s="16" t="s">
        <v>181</v>
      </c>
      <c r="GD12" s="13" t="s">
        <v>182</v>
      </c>
      <c r="GE12" s="16" t="s">
        <v>183</v>
      </c>
      <c r="GF12" s="13" t="s">
        <v>184</v>
      </c>
      <c r="GG12" s="16" t="s">
        <v>185</v>
      </c>
      <c r="GH12" s="13" t="s">
        <v>186</v>
      </c>
      <c r="GI12" s="16" t="s">
        <v>187</v>
      </c>
      <c r="GJ12" s="13" t="s">
        <v>188</v>
      </c>
      <c r="GK12" s="16" t="s">
        <v>189</v>
      </c>
      <c r="GL12" s="13" t="s">
        <v>190</v>
      </c>
      <c r="GM12" s="16" t="s">
        <v>191</v>
      </c>
      <c r="GN12" s="13" t="s">
        <v>192</v>
      </c>
      <c r="GO12" s="16" t="s">
        <v>193</v>
      </c>
      <c r="GP12" s="13" t="s">
        <v>194</v>
      </c>
      <c r="GQ12" s="16" t="s">
        <v>195</v>
      </c>
      <c r="GR12" s="13" t="s">
        <v>196</v>
      </c>
      <c r="GS12" s="16" t="s">
        <v>197</v>
      </c>
      <c r="GT12" s="13" t="s">
        <v>198</v>
      </c>
      <c r="GU12" s="16" t="s">
        <v>199</v>
      </c>
      <c r="GV12" s="13" t="s">
        <v>200</v>
      </c>
      <c r="GW12" s="16" t="s">
        <v>201</v>
      </c>
      <c r="GX12" s="13" t="s">
        <v>202</v>
      </c>
      <c r="GY12" s="16" t="s">
        <v>203</v>
      </c>
      <c r="GZ12" s="13" t="s">
        <v>204</v>
      </c>
      <c r="HA12" s="16" t="s">
        <v>205</v>
      </c>
      <c r="HB12" s="13" t="s">
        <v>206</v>
      </c>
      <c r="HC12" s="16" t="s">
        <v>207</v>
      </c>
      <c r="HD12" s="13" t="s">
        <v>208</v>
      </c>
      <c r="HE12" s="16" t="s">
        <v>209</v>
      </c>
      <c r="HF12" s="13" t="s">
        <v>210</v>
      </c>
      <c r="HG12" s="16" t="s">
        <v>211</v>
      </c>
      <c r="HH12" s="13" t="s">
        <v>212</v>
      </c>
      <c r="HI12" s="16" t="s">
        <v>213</v>
      </c>
      <c r="HJ12" s="13" t="s">
        <v>214</v>
      </c>
      <c r="HK12" s="16" t="s">
        <v>215</v>
      </c>
      <c r="HL12" s="13" t="s">
        <v>216</v>
      </c>
      <c r="HM12" s="16" t="s">
        <v>217</v>
      </c>
      <c r="HN12" s="13" t="s">
        <v>218</v>
      </c>
      <c r="HO12" s="16" t="s">
        <v>219</v>
      </c>
      <c r="HP12" s="13" t="s">
        <v>220</v>
      </c>
      <c r="HQ12" s="16" t="s">
        <v>221</v>
      </c>
      <c r="HR12" s="13" t="s">
        <v>222</v>
      </c>
      <c r="HS12" s="16" t="s">
        <v>223</v>
      </c>
      <c r="HT12" s="13" t="s">
        <v>224</v>
      </c>
      <c r="HU12" s="16" t="s">
        <v>225</v>
      </c>
      <c r="HV12" s="13" t="s">
        <v>226</v>
      </c>
      <c r="HW12" s="16" t="s">
        <v>227</v>
      </c>
      <c r="HX12" s="13" t="s">
        <v>228</v>
      </c>
      <c r="HY12" s="16" t="s">
        <v>229</v>
      </c>
      <c r="HZ12" s="13" t="s">
        <v>230</v>
      </c>
      <c r="IA12" s="16" t="s">
        <v>231</v>
      </c>
      <c r="IB12" s="13" t="s">
        <v>232</v>
      </c>
      <c r="IC12" s="16" t="s">
        <v>233</v>
      </c>
      <c r="ID12" s="13" t="s">
        <v>234</v>
      </c>
      <c r="IE12" s="16" t="s">
        <v>235</v>
      </c>
      <c r="IF12" s="13" t="s">
        <v>236</v>
      </c>
      <c r="IG12" s="16" t="s">
        <v>237</v>
      </c>
      <c r="IH12" s="13" t="s">
        <v>238</v>
      </c>
      <c r="II12" s="16" t="s">
        <v>239</v>
      </c>
      <c r="IJ12" s="13" t="s">
        <v>240</v>
      </c>
      <c r="IK12" s="16" t="s">
        <v>241</v>
      </c>
      <c r="IL12" s="13" t="s">
        <v>242</v>
      </c>
      <c r="IM12" s="16" t="s">
        <v>243</v>
      </c>
      <c r="IN12" s="13" t="s">
        <v>244</v>
      </c>
      <c r="IO12" s="16" t="s">
        <v>245</v>
      </c>
      <c r="IP12" s="13" t="s">
        <v>246</v>
      </c>
      <c r="IQ12" s="16" t="s">
        <v>247</v>
      </c>
      <c r="IR12" s="13" t="s">
        <v>248</v>
      </c>
      <c r="IS12" s="16" t="s">
        <v>249</v>
      </c>
      <c r="IT12" s="13" t="s">
        <v>250</v>
      </c>
      <c r="IU12" s="16" t="s">
        <v>251</v>
      </c>
      <c r="IV12" s="13" t="s">
        <v>252</v>
      </c>
      <c r="IW12" s="16" t="s">
        <v>253</v>
      </c>
      <c r="IX12" s="13" t="s">
        <v>254</v>
      </c>
      <c r="IY12" s="16" t="s">
        <v>255</v>
      </c>
      <c r="IZ12" s="13" t="s">
        <v>256</v>
      </c>
      <c r="JA12" s="16" t="s">
        <v>257</v>
      </c>
      <c r="JB12" s="13" t="s">
        <v>258</v>
      </c>
      <c r="JC12" s="16" t="s">
        <v>259</v>
      </c>
      <c r="JD12" s="13" t="s">
        <v>260</v>
      </c>
      <c r="JE12" s="16" t="s">
        <v>261</v>
      </c>
      <c r="JF12" s="13" t="s">
        <v>262</v>
      </c>
      <c r="JG12" s="16" t="s">
        <v>263</v>
      </c>
      <c r="JH12" s="13" t="s">
        <v>264</v>
      </c>
      <c r="JI12" s="16" t="s">
        <v>265</v>
      </c>
      <c r="JJ12" s="13" t="s">
        <v>266</v>
      </c>
      <c r="JK12" s="16" t="s">
        <v>267</v>
      </c>
      <c r="JL12" s="13" t="s">
        <v>268</v>
      </c>
      <c r="JM12" s="16" t="s">
        <v>269</v>
      </c>
      <c r="JN12" s="13" t="s">
        <v>270</v>
      </c>
      <c r="JO12" s="16" t="s">
        <v>271</v>
      </c>
      <c r="JP12" s="13" t="s">
        <v>272</v>
      </c>
      <c r="JQ12" s="16" t="s">
        <v>273</v>
      </c>
      <c r="JR12" s="13" t="s">
        <v>274</v>
      </c>
      <c r="JS12" s="16" t="s">
        <v>275</v>
      </c>
      <c r="JT12" s="13" t="s">
        <v>276</v>
      </c>
      <c r="JU12" s="16" t="s">
        <v>277</v>
      </c>
      <c r="JV12" s="13" t="s">
        <v>278</v>
      </c>
      <c r="JW12" s="16" t="s">
        <v>279</v>
      </c>
      <c r="JX12" s="13" t="s">
        <v>280</v>
      </c>
      <c r="JY12" s="16" t="s">
        <v>281</v>
      </c>
      <c r="JZ12" s="13" t="s">
        <v>282</v>
      </c>
      <c r="KA12" s="16" t="s">
        <v>283</v>
      </c>
      <c r="KB12" s="13" t="s">
        <v>284</v>
      </c>
      <c r="KC12" s="16" t="s">
        <v>285</v>
      </c>
      <c r="KD12" s="13" t="s">
        <v>286</v>
      </c>
      <c r="KE12" s="16" t="s">
        <v>287</v>
      </c>
      <c r="KF12" s="13" t="s">
        <v>288</v>
      </c>
      <c r="KG12" s="16" t="s">
        <v>289</v>
      </c>
      <c r="KH12" s="13" t="s">
        <v>290</v>
      </c>
      <c r="KI12" s="16" t="s">
        <v>291</v>
      </c>
      <c r="KJ12" s="13" t="s">
        <v>292</v>
      </c>
      <c r="KK12" s="16" t="s">
        <v>293</v>
      </c>
      <c r="KL12" s="13" t="s">
        <v>294</v>
      </c>
      <c r="KM12" s="16" t="s">
        <v>295</v>
      </c>
      <c r="KN12" s="13" t="s">
        <v>296</v>
      </c>
      <c r="KO12" s="16" t="s">
        <v>297</v>
      </c>
      <c r="KP12" s="13" t="s">
        <v>298</v>
      </c>
      <c r="KQ12" s="16" t="s">
        <v>299</v>
      </c>
      <c r="KR12" s="13" t="s">
        <v>300</v>
      </c>
      <c r="KS12" s="16" t="s">
        <v>301</v>
      </c>
      <c r="KT12" s="13" t="s">
        <v>302</v>
      </c>
      <c r="KU12" s="16" t="s">
        <v>303</v>
      </c>
      <c r="KV12" s="13" t="s">
        <v>304</v>
      </c>
      <c r="KW12" s="16" t="s">
        <v>305</v>
      </c>
      <c r="KX12" s="13" t="s">
        <v>306</v>
      </c>
      <c r="KY12" s="16" t="s">
        <v>307</v>
      </c>
      <c r="KZ12" s="13" t="s">
        <v>308</v>
      </c>
      <c r="LA12" s="16" t="s">
        <v>309</v>
      </c>
      <c r="LB12" s="13" t="s">
        <v>310</v>
      </c>
      <c r="LC12" s="16" t="s">
        <v>311</v>
      </c>
      <c r="LD12" s="13" t="s">
        <v>312</v>
      </c>
      <c r="LE12" s="16" t="s">
        <v>313</v>
      </c>
      <c r="LF12" s="13" t="s">
        <v>314</v>
      </c>
      <c r="LG12" s="16" t="s">
        <v>315</v>
      </c>
      <c r="LH12" s="13" t="s">
        <v>316</v>
      </c>
      <c r="LI12" s="16" t="s">
        <v>317</v>
      </c>
      <c r="LJ12" s="13" t="s">
        <v>318</v>
      </c>
      <c r="LK12" s="16" t="s">
        <v>319</v>
      </c>
      <c r="LL12" s="13" t="s">
        <v>320</v>
      </c>
      <c r="LM12" s="16" t="s">
        <v>321</v>
      </c>
      <c r="LN12" s="13" t="s">
        <v>322</v>
      </c>
      <c r="LO12" s="16" t="s">
        <v>323</v>
      </c>
      <c r="LP12" s="13" t="s">
        <v>324</v>
      </c>
      <c r="LQ12" s="16" t="s">
        <v>325</v>
      </c>
      <c r="LR12" s="13" t="s">
        <v>326</v>
      </c>
      <c r="LS12" s="16" t="s">
        <v>327</v>
      </c>
      <c r="LT12" s="13" t="s">
        <v>328</v>
      </c>
      <c r="LU12" s="16" t="s">
        <v>329</v>
      </c>
      <c r="LV12" s="13" t="s">
        <v>330</v>
      </c>
      <c r="LW12" s="16" t="s">
        <v>331</v>
      </c>
      <c r="LX12" s="13" t="s">
        <v>332</v>
      </c>
      <c r="LY12" s="16" t="s">
        <v>333</v>
      </c>
      <c r="LZ12" s="13" t="s">
        <v>334</v>
      </c>
      <c r="MA12" s="16" t="s">
        <v>335</v>
      </c>
      <c r="MB12" s="13" t="s">
        <v>336</v>
      </c>
      <c r="MC12" s="16" t="s">
        <v>337</v>
      </c>
      <c r="MD12" s="13" t="s">
        <v>338</v>
      </c>
      <c r="ME12" s="16" t="s">
        <v>339</v>
      </c>
      <c r="MF12" s="13" t="s">
        <v>340</v>
      </c>
      <c r="MG12" s="16" t="s">
        <v>341</v>
      </c>
      <c r="MH12" s="13" t="s">
        <v>342</v>
      </c>
      <c r="MI12" s="16" t="s">
        <v>343</v>
      </c>
      <c r="MJ12" s="13" t="s">
        <v>344</v>
      </c>
      <c r="MK12" s="16" t="s">
        <v>345</v>
      </c>
      <c r="ML12" s="13" t="s">
        <v>346</v>
      </c>
      <c r="MM12" s="16" t="s">
        <v>347</v>
      </c>
      <c r="MN12" s="13" t="s">
        <v>348</v>
      </c>
      <c r="MO12" s="16" t="s">
        <v>349</v>
      </c>
      <c r="MP12" s="13" t="s">
        <v>350</v>
      </c>
      <c r="MQ12" s="16" t="s">
        <v>351</v>
      </c>
      <c r="MR12" s="13" t="s">
        <v>352</v>
      </c>
      <c r="MS12" s="16" t="s">
        <v>353</v>
      </c>
      <c r="MT12" s="13" t="s">
        <v>354</v>
      </c>
      <c r="MU12" s="16" t="s">
        <v>355</v>
      </c>
      <c r="MV12" s="13" t="s">
        <v>356</v>
      </c>
      <c r="MW12" s="16" t="s">
        <v>357</v>
      </c>
      <c r="MX12" s="13" t="s">
        <v>358</v>
      </c>
      <c r="MY12" s="16" t="s">
        <v>359</v>
      </c>
      <c r="MZ12" s="13" t="s">
        <v>360</v>
      </c>
      <c r="NA12" s="16" t="s">
        <v>361</v>
      </c>
      <c r="NB12" s="13" t="s">
        <v>362</v>
      </c>
      <c r="NC12" s="16" t="s">
        <v>363</v>
      </c>
      <c r="ND12" s="13" t="s">
        <v>364</v>
      </c>
      <c r="NE12" s="16" t="s">
        <v>365</v>
      </c>
      <c r="NF12" s="13" t="s">
        <v>366</v>
      </c>
      <c r="NG12" s="16" t="s">
        <v>367</v>
      </c>
      <c r="NH12" s="13" t="s">
        <v>368</v>
      </c>
      <c r="NI12" s="16" t="s">
        <v>369</v>
      </c>
      <c r="NJ12" s="13" t="s">
        <v>370</v>
      </c>
      <c r="NK12" s="16" t="s">
        <v>371</v>
      </c>
      <c r="NL12" s="13" t="s">
        <v>372</v>
      </c>
      <c r="NM12" s="16" t="s">
        <v>373</v>
      </c>
      <c r="NN12" s="13" t="s">
        <v>374</v>
      </c>
      <c r="NO12" s="16" t="s">
        <v>375</v>
      </c>
      <c r="NP12" s="13" t="s">
        <v>376</v>
      </c>
      <c r="NQ12" s="16" t="s">
        <v>377</v>
      </c>
      <c r="NR12" s="13" t="s">
        <v>378</v>
      </c>
      <c r="NS12" s="16" t="s">
        <v>379</v>
      </c>
      <c r="NT12" s="13" t="s">
        <v>380</v>
      </c>
      <c r="NU12" s="16" t="s">
        <v>381</v>
      </c>
      <c r="NV12" s="13" t="s">
        <v>382</v>
      </c>
      <c r="NW12" s="16" t="s">
        <v>383</v>
      </c>
      <c r="NX12" s="13" t="s">
        <v>384</v>
      </c>
      <c r="NY12" s="16" t="s">
        <v>385</v>
      </c>
      <c r="NZ12" s="13" t="s">
        <v>386</v>
      </c>
      <c r="OA12" s="16" t="s">
        <v>387</v>
      </c>
      <c r="OB12" s="13" t="s">
        <v>388</v>
      </c>
      <c r="OC12" s="16" t="s">
        <v>389</v>
      </c>
      <c r="OD12" s="13" t="s">
        <v>390</v>
      </c>
      <c r="OE12" s="16" t="s">
        <v>391</v>
      </c>
      <c r="OF12" s="13" t="s">
        <v>392</v>
      </c>
      <c r="OG12" s="16" t="s">
        <v>393</v>
      </c>
      <c r="OH12" s="13" t="s">
        <v>394</v>
      </c>
      <c r="OI12" s="16" t="s">
        <v>395</v>
      </c>
      <c r="OJ12" s="13" t="s">
        <v>396</v>
      </c>
      <c r="OK12" s="16" t="s">
        <v>397</v>
      </c>
      <c r="OL12" s="13" t="s">
        <v>398</v>
      </c>
      <c r="OM12" s="16" t="s">
        <v>399</v>
      </c>
      <c r="ON12" s="13" t="s">
        <v>400</v>
      </c>
      <c r="OO12" s="16" t="s">
        <v>401</v>
      </c>
      <c r="OP12" s="13" t="s">
        <v>402</v>
      </c>
      <c r="OQ12" s="16" t="s">
        <v>403</v>
      </c>
      <c r="OR12" s="13" t="s">
        <v>404</v>
      </c>
      <c r="OS12" s="16" t="s">
        <v>405</v>
      </c>
      <c r="OT12" s="13" t="s">
        <v>406</v>
      </c>
      <c r="OU12" s="16" t="s">
        <v>407</v>
      </c>
      <c r="OV12" s="13" t="s">
        <v>408</v>
      </c>
      <c r="OW12" s="16" t="s">
        <v>409</v>
      </c>
      <c r="OX12" s="13" t="s">
        <v>410</v>
      </c>
      <c r="OY12" s="16" t="s">
        <v>411</v>
      </c>
      <c r="OZ12" s="13" t="s">
        <v>412</v>
      </c>
      <c r="PA12" s="16" t="s">
        <v>413</v>
      </c>
      <c r="PB12" s="13" t="s">
        <v>414</v>
      </c>
      <c r="PC12" s="16" t="s">
        <v>415</v>
      </c>
      <c r="PD12" s="13" t="s">
        <v>416</v>
      </c>
      <c r="PE12" s="16" t="s">
        <v>417</v>
      </c>
      <c r="PF12" s="13" t="s">
        <v>418</v>
      </c>
      <c r="PG12" s="16" t="s">
        <v>419</v>
      </c>
      <c r="PH12" s="13" t="s">
        <v>420</v>
      </c>
      <c r="PI12" s="16" t="s">
        <v>421</v>
      </c>
      <c r="PJ12" s="13" t="s">
        <v>422</v>
      </c>
      <c r="PK12" s="16" t="s">
        <v>423</v>
      </c>
      <c r="PL12" s="13" t="s">
        <v>424</v>
      </c>
      <c r="PM12" s="16" t="s">
        <v>425</v>
      </c>
      <c r="PN12" s="13" t="s">
        <v>426</v>
      </c>
      <c r="PO12" s="16" t="s">
        <v>427</v>
      </c>
      <c r="PP12" s="13" t="s">
        <v>428</v>
      </c>
      <c r="PQ12" s="16" t="s">
        <v>429</v>
      </c>
      <c r="PR12" s="13" t="s">
        <v>430</v>
      </c>
      <c r="PS12" s="16" t="s">
        <v>431</v>
      </c>
      <c r="PT12" s="13" t="s">
        <v>432</v>
      </c>
      <c r="PU12" s="16" t="s">
        <v>433</v>
      </c>
      <c r="PV12" s="13" t="s">
        <v>434</v>
      </c>
      <c r="PW12" s="16" t="s">
        <v>435</v>
      </c>
      <c r="PX12" s="13" t="s">
        <v>436</v>
      </c>
      <c r="PY12" s="16" t="s">
        <v>437</v>
      </c>
      <c r="PZ12" s="13" t="s">
        <v>438</v>
      </c>
      <c r="QA12" s="16" t="s">
        <v>439</v>
      </c>
      <c r="QB12" s="13" t="s">
        <v>440</v>
      </c>
      <c r="QC12" s="16" t="s">
        <v>441</v>
      </c>
      <c r="QD12" s="13" t="s">
        <v>442</v>
      </c>
      <c r="QE12" s="16" t="s">
        <v>443</v>
      </c>
      <c r="QF12" s="13" t="s">
        <v>444</v>
      </c>
      <c r="QG12" s="16" t="s">
        <v>445</v>
      </c>
      <c r="QH12" s="13" t="s">
        <v>446</v>
      </c>
      <c r="QI12" s="16" t="s">
        <v>447</v>
      </c>
      <c r="QJ12" s="13" t="s">
        <v>448</v>
      </c>
      <c r="QK12" s="16" t="s">
        <v>449</v>
      </c>
      <c r="QL12" s="13" t="s">
        <v>450</v>
      </c>
      <c r="QM12" s="16" t="s">
        <v>451</v>
      </c>
      <c r="QN12" s="13" t="s">
        <v>452</v>
      </c>
      <c r="QO12" s="16" t="s">
        <v>453</v>
      </c>
      <c r="QP12" s="13" t="s">
        <v>454</v>
      </c>
      <c r="QQ12" s="16" t="s">
        <v>455</v>
      </c>
      <c r="QR12" s="13" t="s">
        <v>456</v>
      </c>
      <c r="QS12" s="16" t="s">
        <v>457</v>
      </c>
      <c r="QT12" s="13" t="s">
        <v>458</v>
      </c>
      <c r="QU12" s="16" t="s">
        <v>459</v>
      </c>
      <c r="QV12" s="13" t="s">
        <v>460</v>
      </c>
      <c r="QW12" s="16" t="s">
        <v>461</v>
      </c>
      <c r="QX12" s="13" t="s">
        <v>462</v>
      </c>
      <c r="QY12" s="16" t="s">
        <v>463</v>
      </c>
      <c r="QZ12" s="13" t="s">
        <v>464</v>
      </c>
      <c r="RA12" s="16" t="s">
        <v>465</v>
      </c>
      <c r="RB12" s="13" t="s">
        <v>466</v>
      </c>
      <c r="RC12" s="16" t="s">
        <v>467</v>
      </c>
      <c r="RD12" s="13" t="s">
        <v>468</v>
      </c>
      <c r="RE12" s="16" t="s">
        <v>469</v>
      </c>
      <c r="RF12" s="13" t="s">
        <v>470</v>
      </c>
      <c r="RG12" s="16" t="s">
        <v>471</v>
      </c>
      <c r="RH12" s="13" t="s">
        <v>472</v>
      </c>
      <c r="RI12" s="16" t="s">
        <v>473</v>
      </c>
      <c r="RJ12" s="13" t="s">
        <v>474</v>
      </c>
      <c r="RK12" s="16" t="s">
        <v>475</v>
      </c>
      <c r="RL12" s="13" t="s">
        <v>476</v>
      </c>
      <c r="RM12" s="16" t="s">
        <v>477</v>
      </c>
      <c r="RN12" s="13" t="s">
        <v>478</v>
      </c>
      <c r="RO12" s="16" t="s">
        <v>479</v>
      </c>
      <c r="RP12" s="13" t="s">
        <v>480</v>
      </c>
      <c r="RQ12" s="16" t="s">
        <v>481</v>
      </c>
      <c r="RR12" s="13" t="s">
        <v>482</v>
      </c>
      <c r="RS12" s="16" t="s">
        <v>483</v>
      </c>
      <c r="RT12" s="13" t="s">
        <v>484</v>
      </c>
      <c r="RU12" s="16" t="s">
        <v>485</v>
      </c>
      <c r="RV12" s="13" t="s">
        <v>486</v>
      </c>
      <c r="RW12" s="16" t="s">
        <v>487</v>
      </c>
      <c r="RX12" s="13" t="s">
        <v>488</v>
      </c>
      <c r="RY12" s="16" t="s">
        <v>489</v>
      </c>
      <c r="RZ12" s="13" t="s">
        <v>490</v>
      </c>
      <c r="SA12" s="16" t="s">
        <v>491</v>
      </c>
      <c r="SB12" s="13" t="s">
        <v>492</v>
      </c>
      <c r="SC12" s="16" t="s">
        <v>493</v>
      </c>
      <c r="SD12" s="13" t="s">
        <v>494</v>
      </c>
      <c r="SE12" s="16" t="s">
        <v>495</v>
      </c>
      <c r="SF12" s="13" t="s">
        <v>496</v>
      </c>
      <c r="SG12" s="16" t="s">
        <v>497</v>
      </c>
      <c r="SH12" s="13" t="s">
        <v>498</v>
      </c>
      <c r="SI12" s="16" t="s">
        <v>499</v>
      </c>
      <c r="SJ12" s="13" t="s">
        <v>500</v>
      </c>
      <c r="SK12" s="16" t="s">
        <v>501</v>
      </c>
      <c r="SL12" s="13" t="s">
        <v>502</v>
      </c>
      <c r="SM12" s="16" t="s">
        <v>503</v>
      </c>
      <c r="SN12" s="13" t="s">
        <v>504</v>
      </c>
      <c r="SO12" s="16" t="s">
        <v>505</v>
      </c>
      <c r="SP12" s="13" t="s">
        <v>506</v>
      </c>
      <c r="SQ12" s="16" t="s">
        <v>507</v>
      </c>
      <c r="SR12" s="13" t="s">
        <v>508</v>
      </c>
      <c r="SS12" s="16" t="s">
        <v>509</v>
      </c>
      <c r="ST12" s="13" t="s">
        <v>510</v>
      </c>
      <c r="SU12" s="16" t="s">
        <v>511</v>
      </c>
      <c r="SV12" s="13" t="s">
        <v>512</v>
      </c>
      <c r="SW12" s="16" t="s">
        <v>513</v>
      </c>
      <c r="SX12" s="13" t="s">
        <v>514</v>
      </c>
      <c r="SY12" s="16" t="s">
        <v>515</v>
      </c>
      <c r="SZ12" s="13" t="s">
        <v>516</v>
      </c>
      <c r="TA12" s="16" t="s">
        <v>517</v>
      </c>
      <c r="TB12" s="13" t="s">
        <v>518</v>
      </c>
      <c r="TC12" s="16" t="s">
        <v>519</v>
      </c>
      <c r="TD12" s="13" t="s">
        <v>520</v>
      </c>
      <c r="TE12" s="16" t="s">
        <v>521</v>
      </c>
      <c r="TF12" s="13" t="s">
        <v>522</v>
      </c>
      <c r="TG12" s="16" t="s">
        <v>523</v>
      </c>
      <c r="TH12" s="13" t="s">
        <v>524</v>
      </c>
      <c r="TI12" s="16" t="s">
        <v>525</v>
      </c>
      <c r="TJ12" s="13" t="s">
        <v>526</v>
      </c>
      <c r="TK12" s="16" t="s">
        <v>527</v>
      </c>
      <c r="TL12" s="13" t="s">
        <v>528</v>
      </c>
      <c r="TM12" s="16" t="s">
        <v>529</v>
      </c>
      <c r="TN12" s="13" t="s">
        <v>530</v>
      </c>
      <c r="TO12" s="16" t="s">
        <v>531</v>
      </c>
      <c r="TP12" s="13" t="s">
        <v>532</v>
      </c>
      <c r="TQ12" s="16" t="s">
        <v>533</v>
      </c>
      <c r="TR12" s="13" t="s">
        <v>534</v>
      </c>
      <c r="TS12" s="16" t="s">
        <v>535</v>
      </c>
      <c r="TT12" s="13" t="s">
        <v>536</v>
      </c>
      <c r="TU12" s="16" t="s">
        <v>537</v>
      </c>
      <c r="TV12" s="13" t="s">
        <v>538</v>
      </c>
      <c r="TW12" s="16" t="s">
        <v>539</v>
      </c>
      <c r="TX12" s="13" t="s">
        <v>540</v>
      </c>
      <c r="TY12" s="16" t="s">
        <v>541</v>
      </c>
      <c r="TZ12" s="13" t="s">
        <v>542</v>
      </c>
      <c r="UA12" s="16" t="s">
        <v>543</v>
      </c>
      <c r="UB12" s="13" t="s">
        <v>544</v>
      </c>
      <c r="UC12" s="16" t="s">
        <v>545</v>
      </c>
      <c r="UD12" s="13" t="s">
        <v>546</v>
      </c>
      <c r="UE12" s="16" t="s">
        <v>547</v>
      </c>
      <c r="UF12" s="13" t="s">
        <v>548</v>
      </c>
      <c r="UG12" s="16" t="s">
        <v>549</v>
      </c>
      <c r="UH12" s="13" t="s">
        <v>550</v>
      </c>
      <c r="UI12" s="16" t="s">
        <v>551</v>
      </c>
      <c r="UJ12" s="13" t="s">
        <v>552</v>
      </c>
      <c r="UK12" s="16" t="s">
        <v>553</v>
      </c>
      <c r="UL12" s="13" t="s">
        <v>554</v>
      </c>
      <c r="UM12" s="16" t="s">
        <v>555</v>
      </c>
      <c r="UN12" s="13" t="s">
        <v>556</v>
      </c>
      <c r="UO12" s="16" t="s">
        <v>557</v>
      </c>
      <c r="UP12" s="13" t="s">
        <v>558</v>
      </c>
      <c r="UQ12" s="16" t="s">
        <v>559</v>
      </c>
      <c r="UR12" s="13" t="s">
        <v>560</v>
      </c>
      <c r="US12" s="16" t="s">
        <v>561</v>
      </c>
      <c r="UT12" s="13" t="s">
        <v>562</v>
      </c>
      <c r="UU12" s="16" t="s">
        <v>563</v>
      </c>
      <c r="UV12" s="13" t="s">
        <v>564</v>
      </c>
      <c r="UW12" s="16" t="s">
        <v>565</v>
      </c>
      <c r="UX12" s="13" t="s">
        <v>566</v>
      </c>
      <c r="UY12" s="16" t="s">
        <v>567</v>
      </c>
      <c r="UZ12" s="13" t="s">
        <v>568</v>
      </c>
      <c r="VA12" s="16" t="s">
        <v>569</v>
      </c>
      <c r="VB12" s="13" t="s">
        <v>570</v>
      </c>
      <c r="VC12" s="16" t="s">
        <v>571</v>
      </c>
      <c r="VD12" s="13" t="s">
        <v>572</v>
      </c>
      <c r="VE12" s="16" t="s">
        <v>573</v>
      </c>
      <c r="VF12" s="13" t="s">
        <v>574</v>
      </c>
      <c r="VG12" s="16" t="s">
        <v>575</v>
      </c>
      <c r="VH12" s="13" t="s">
        <v>576</v>
      </c>
      <c r="VI12" s="16" t="s">
        <v>577</v>
      </c>
      <c r="VJ12" s="13" t="s">
        <v>578</v>
      </c>
      <c r="VK12" s="16" t="s">
        <v>579</v>
      </c>
      <c r="VL12" s="13" t="s">
        <v>580</v>
      </c>
      <c r="VM12" s="16" t="s">
        <v>581</v>
      </c>
      <c r="VN12" s="13" t="s">
        <v>582</v>
      </c>
      <c r="VO12" s="16" t="s">
        <v>583</v>
      </c>
      <c r="VP12" s="13" t="s">
        <v>584</v>
      </c>
      <c r="VQ12" s="16" t="s">
        <v>585</v>
      </c>
      <c r="VR12" s="13" t="s">
        <v>586</v>
      </c>
      <c r="VS12" s="16" t="s">
        <v>587</v>
      </c>
      <c r="VT12" s="13" t="s">
        <v>588</v>
      </c>
      <c r="VU12" s="16" t="s">
        <v>589</v>
      </c>
      <c r="VV12" s="13" t="s">
        <v>590</v>
      </c>
      <c r="VW12" s="16" t="s">
        <v>591</v>
      </c>
      <c r="VX12" s="13" t="s">
        <v>592</v>
      </c>
      <c r="VY12" s="16" t="s">
        <v>593</v>
      </c>
      <c r="VZ12" s="13" t="s">
        <v>594</v>
      </c>
      <c r="WA12" s="16" t="s">
        <v>595</v>
      </c>
      <c r="WB12" s="13" t="s">
        <v>596</v>
      </c>
      <c r="WC12" s="16" t="s">
        <v>597</v>
      </c>
      <c r="WD12" s="13" t="s">
        <v>598</v>
      </c>
      <c r="WE12" s="16" t="s">
        <v>599</v>
      </c>
      <c r="WF12" s="13" t="s">
        <v>600</v>
      </c>
      <c r="WG12" s="16" t="s">
        <v>601</v>
      </c>
      <c r="WH12" s="13" t="s">
        <v>602</v>
      </c>
      <c r="WI12" s="16" t="s">
        <v>603</v>
      </c>
      <c r="WJ12" s="13" t="s">
        <v>604</v>
      </c>
      <c r="WK12" s="16" t="s">
        <v>605</v>
      </c>
      <c r="WL12" s="13" t="s">
        <v>606</v>
      </c>
      <c r="WM12" s="16" t="s">
        <v>607</v>
      </c>
      <c r="WN12" s="13" t="s">
        <v>608</v>
      </c>
      <c r="WO12" s="16" t="s">
        <v>609</v>
      </c>
      <c r="WP12" s="13" t="s">
        <v>610</v>
      </c>
      <c r="WQ12" s="16" t="s">
        <v>611</v>
      </c>
      <c r="WR12" s="13" t="s">
        <v>612</v>
      </c>
      <c r="WS12" s="16" t="s">
        <v>613</v>
      </c>
      <c r="WT12" s="13" t="s">
        <v>614</v>
      </c>
      <c r="WU12" s="16" t="s">
        <v>615</v>
      </c>
      <c r="WV12" s="13" t="s">
        <v>616</v>
      </c>
      <c r="WW12" s="16" t="s">
        <v>617</v>
      </c>
      <c r="WX12" s="13" t="s">
        <v>618</v>
      </c>
      <c r="WY12" s="16" t="s">
        <v>619</v>
      </c>
      <c r="WZ12" s="13" t="s">
        <v>620</v>
      </c>
      <c r="XA12" s="16" t="s">
        <v>621</v>
      </c>
      <c r="XB12" s="13" t="s">
        <v>622</v>
      </c>
      <c r="XC12" s="16" t="s">
        <v>623</v>
      </c>
      <c r="XD12" s="13" t="s">
        <v>624</v>
      </c>
      <c r="XE12" s="16" t="s">
        <v>625</v>
      </c>
      <c r="XF12" s="13" t="s">
        <v>626</v>
      </c>
      <c r="XG12" s="16" t="s">
        <v>627</v>
      </c>
      <c r="XH12" s="13" t="s">
        <v>628</v>
      </c>
      <c r="XI12" s="16" t="s">
        <v>629</v>
      </c>
      <c r="XJ12" s="13" t="s">
        <v>630</v>
      </c>
      <c r="XK12" s="16" t="s">
        <v>631</v>
      </c>
      <c r="XL12" s="13" t="s">
        <v>632</v>
      </c>
      <c r="XM12" s="16" t="s">
        <v>633</v>
      </c>
      <c r="XN12" s="13" t="s">
        <v>634</v>
      </c>
      <c r="XO12" s="16" t="s">
        <v>635</v>
      </c>
      <c r="XP12" s="13" t="s">
        <v>636</v>
      </c>
      <c r="XQ12" s="16" t="s">
        <v>637</v>
      </c>
      <c r="XR12" s="13" t="s">
        <v>638</v>
      </c>
      <c r="XS12" s="16" t="s">
        <v>639</v>
      </c>
      <c r="XT12" s="13" t="s">
        <v>640</v>
      </c>
      <c r="XU12" s="16" t="s">
        <v>641</v>
      </c>
      <c r="XV12" s="13" t="s">
        <v>642</v>
      </c>
      <c r="XW12" s="16" t="s">
        <v>643</v>
      </c>
      <c r="XX12" s="13" t="s">
        <v>644</v>
      </c>
      <c r="XY12" s="16" t="s">
        <v>645</v>
      </c>
      <c r="XZ12" s="13" t="s">
        <v>646</v>
      </c>
      <c r="YA12" s="16" t="s">
        <v>647</v>
      </c>
      <c r="YB12" s="13" t="s">
        <v>648</v>
      </c>
      <c r="YC12" s="16" t="s">
        <v>649</v>
      </c>
      <c r="YD12" s="13" t="s">
        <v>650</v>
      </c>
      <c r="YE12" s="16" t="s">
        <v>651</v>
      </c>
      <c r="YF12" s="13" t="s">
        <v>652</v>
      </c>
      <c r="YG12" s="16" t="s">
        <v>653</v>
      </c>
      <c r="YH12" s="13" t="s">
        <v>654</v>
      </c>
      <c r="YI12" s="16" t="s">
        <v>655</v>
      </c>
      <c r="YJ12" s="13" t="s">
        <v>656</v>
      </c>
      <c r="YK12" s="16" t="s">
        <v>657</v>
      </c>
      <c r="YL12" s="13" t="s">
        <v>658</v>
      </c>
      <c r="YM12" s="16" t="s">
        <v>659</v>
      </c>
      <c r="YN12" s="13" t="s">
        <v>660</v>
      </c>
      <c r="YO12" s="16" t="s">
        <v>661</v>
      </c>
      <c r="YP12" s="13" t="s">
        <v>662</v>
      </c>
      <c r="YQ12" s="16" t="s">
        <v>663</v>
      </c>
      <c r="YR12" s="13" t="s">
        <v>664</v>
      </c>
      <c r="YS12" s="16" t="s">
        <v>665</v>
      </c>
      <c r="YT12" s="13" t="s">
        <v>666</v>
      </c>
      <c r="YU12" s="16" t="s">
        <v>667</v>
      </c>
      <c r="YV12" s="13" t="s">
        <v>668</v>
      </c>
      <c r="YW12" s="16" t="s">
        <v>669</v>
      </c>
      <c r="YX12" s="13" t="s">
        <v>670</v>
      </c>
      <c r="YY12" s="16" t="s">
        <v>671</v>
      </c>
      <c r="YZ12" s="13" t="s">
        <v>672</v>
      </c>
      <c r="ZA12" s="16" t="s">
        <v>673</v>
      </c>
      <c r="ZB12" s="13" t="s">
        <v>674</v>
      </c>
      <c r="ZC12" s="16" t="s">
        <v>675</v>
      </c>
      <c r="ZD12" s="13" t="s">
        <v>676</v>
      </c>
      <c r="ZE12" s="16" t="s">
        <v>677</v>
      </c>
      <c r="ZF12" s="13" t="s">
        <v>678</v>
      </c>
      <c r="ZG12" s="16" t="s">
        <v>679</v>
      </c>
      <c r="ZH12" s="13" t="s">
        <v>680</v>
      </c>
      <c r="ZI12" s="16" t="s">
        <v>681</v>
      </c>
      <c r="ZJ12" s="13" t="s">
        <v>682</v>
      </c>
      <c r="ZK12" s="16" t="s">
        <v>683</v>
      </c>
      <c r="ZL12" s="13" t="s">
        <v>684</v>
      </c>
      <c r="ZM12" s="16" t="s">
        <v>685</v>
      </c>
      <c r="ZN12" s="13" t="s">
        <v>686</v>
      </c>
      <c r="ZO12" s="16" t="s">
        <v>687</v>
      </c>
      <c r="ZP12" s="13" t="s">
        <v>688</v>
      </c>
      <c r="ZQ12" s="16" t="s">
        <v>689</v>
      </c>
      <c r="ZR12" s="13" t="s">
        <v>690</v>
      </c>
      <c r="ZS12" s="16" t="s">
        <v>691</v>
      </c>
      <c r="ZT12" s="13" t="s">
        <v>692</v>
      </c>
      <c r="ZU12" s="16" t="s">
        <v>693</v>
      </c>
      <c r="ZV12" s="13" t="s">
        <v>694</v>
      </c>
      <c r="ZW12" s="16" t="s">
        <v>695</v>
      </c>
      <c r="ZX12" s="13" t="s">
        <v>696</v>
      </c>
      <c r="ZY12" s="16" t="s">
        <v>697</v>
      </c>
      <c r="ZZ12" s="13" t="s">
        <v>698</v>
      </c>
      <c r="AAA12" s="16" t="s">
        <v>699</v>
      </c>
      <c r="AAB12" s="13" t="s">
        <v>700</v>
      </c>
      <c r="AAC12" s="16" t="s">
        <v>701</v>
      </c>
      <c r="AAD12" s="13" t="s">
        <v>702</v>
      </c>
      <c r="AAE12" s="16" t="s">
        <v>703</v>
      </c>
      <c r="AAF12" s="13" t="s">
        <v>704</v>
      </c>
      <c r="AAG12" s="16" t="s">
        <v>705</v>
      </c>
      <c r="AAH12" s="13" t="s">
        <v>706</v>
      </c>
      <c r="AAI12" s="16" t="s">
        <v>707</v>
      </c>
      <c r="AAJ12" s="13" t="s">
        <v>708</v>
      </c>
      <c r="AAK12" s="16" t="s">
        <v>709</v>
      </c>
      <c r="AAL12" s="13" t="s">
        <v>710</v>
      </c>
      <c r="AAM12" s="16" t="s">
        <v>711</v>
      </c>
      <c r="AAN12" s="13" t="s">
        <v>712</v>
      </c>
      <c r="AAO12" s="16" t="s">
        <v>713</v>
      </c>
      <c r="AAP12" s="13" t="s">
        <v>714</v>
      </c>
      <c r="AAQ12" s="16" t="s">
        <v>715</v>
      </c>
      <c r="AAR12" s="13" t="s">
        <v>716</v>
      </c>
      <c r="AAS12" s="16" t="s">
        <v>717</v>
      </c>
      <c r="AAT12" s="13" t="s">
        <v>718</v>
      </c>
      <c r="AAU12" s="16" t="s">
        <v>719</v>
      </c>
      <c r="AAV12" s="13" t="s">
        <v>720</v>
      </c>
      <c r="AAW12" s="16" t="s">
        <v>721</v>
      </c>
      <c r="AAX12" s="13" t="s">
        <v>722</v>
      </c>
      <c r="AAY12" s="16" t="s">
        <v>723</v>
      </c>
      <c r="AAZ12" s="13" t="s">
        <v>724</v>
      </c>
      <c r="ABA12" s="16" t="s">
        <v>725</v>
      </c>
      <c r="ABB12" s="13" t="s">
        <v>726</v>
      </c>
      <c r="ABC12" s="16" t="s">
        <v>727</v>
      </c>
      <c r="ABD12" s="13" t="s">
        <v>728</v>
      </c>
      <c r="ABE12" s="16" t="s">
        <v>729</v>
      </c>
      <c r="ABF12" s="13" t="s">
        <v>730</v>
      </c>
      <c r="ABG12" s="16" t="s">
        <v>731</v>
      </c>
      <c r="ABH12" s="13" t="s">
        <v>732</v>
      </c>
      <c r="ABI12" s="16" t="s">
        <v>733</v>
      </c>
      <c r="ABJ12" s="13" t="s">
        <v>734</v>
      </c>
      <c r="ABK12" s="16" t="s">
        <v>735</v>
      </c>
      <c r="ABL12" s="13" t="s">
        <v>736</v>
      </c>
      <c r="ABM12" s="16" t="s">
        <v>737</v>
      </c>
      <c r="ABN12" s="13" t="s">
        <v>738</v>
      </c>
      <c r="ABO12" s="16" t="s">
        <v>739</v>
      </c>
      <c r="ABP12" s="13" t="s">
        <v>740</v>
      </c>
      <c r="ABQ12" s="16" t="s">
        <v>741</v>
      </c>
      <c r="ABR12" s="13" t="s">
        <v>742</v>
      </c>
      <c r="ABS12" s="16" t="s">
        <v>743</v>
      </c>
      <c r="ABT12" s="13" t="s">
        <v>744</v>
      </c>
      <c r="ABU12" s="16" t="s">
        <v>745</v>
      </c>
      <c r="ABV12" s="13" t="s">
        <v>746</v>
      </c>
      <c r="ABW12" s="16" t="s">
        <v>747</v>
      </c>
      <c r="ABX12" s="13" t="s">
        <v>748</v>
      </c>
      <c r="ABY12" s="16" t="s">
        <v>749</v>
      </c>
      <c r="ABZ12" s="13" t="s">
        <v>750</v>
      </c>
      <c r="ACA12" s="16" t="s">
        <v>751</v>
      </c>
      <c r="ACB12" s="13" t="s">
        <v>752</v>
      </c>
      <c r="ACC12" s="16" t="s">
        <v>753</v>
      </c>
      <c r="ACD12" s="13" t="s">
        <v>754</v>
      </c>
      <c r="ACE12" s="16" t="s">
        <v>755</v>
      </c>
      <c r="ACF12" s="13" t="s">
        <v>756</v>
      </c>
      <c r="ACG12" s="16" t="s">
        <v>757</v>
      </c>
      <c r="ACH12" s="13" t="s">
        <v>758</v>
      </c>
      <c r="ACI12" s="16" t="s">
        <v>759</v>
      </c>
      <c r="ACJ12" s="13" t="s">
        <v>760</v>
      </c>
      <c r="ACK12" s="16" t="s">
        <v>761</v>
      </c>
      <c r="ACL12" s="13" t="s">
        <v>762</v>
      </c>
      <c r="ACM12" s="16" t="s">
        <v>763</v>
      </c>
      <c r="ACN12" s="13" t="s">
        <v>764</v>
      </c>
      <c r="ACO12" s="16" t="s">
        <v>765</v>
      </c>
      <c r="ACP12" s="13" t="s">
        <v>766</v>
      </c>
      <c r="ACQ12" s="16" t="s">
        <v>767</v>
      </c>
      <c r="ACR12" s="13" t="s">
        <v>768</v>
      </c>
      <c r="ACS12" s="16" t="s">
        <v>769</v>
      </c>
      <c r="ACT12" s="13" t="s">
        <v>770</v>
      </c>
      <c r="ACU12" s="16" t="s">
        <v>771</v>
      </c>
      <c r="ACV12" s="13" t="s">
        <v>772</v>
      </c>
      <c r="ACW12" s="16" t="s">
        <v>773</v>
      </c>
      <c r="ACX12" s="13" t="s">
        <v>774</v>
      </c>
      <c r="ACY12" s="16" t="s">
        <v>775</v>
      </c>
      <c r="ACZ12" s="13" t="s">
        <v>776</v>
      </c>
      <c r="ADA12" s="16" t="s">
        <v>777</v>
      </c>
      <c r="ADB12" s="13" t="s">
        <v>778</v>
      </c>
      <c r="ADC12" s="16" t="s">
        <v>779</v>
      </c>
      <c r="ADD12" s="13" t="s">
        <v>780</v>
      </c>
      <c r="ADE12" s="16" t="s">
        <v>781</v>
      </c>
      <c r="ADF12" s="13" t="s">
        <v>782</v>
      </c>
      <c r="ADG12" s="16" t="s">
        <v>783</v>
      </c>
      <c r="ADH12" s="13" t="s">
        <v>784</v>
      </c>
      <c r="ADI12" s="16" t="s">
        <v>785</v>
      </c>
      <c r="ADJ12" s="13" t="s">
        <v>786</v>
      </c>
      <c r="ADK12" s="16" t="s">
        <v>787</v>
      </c>
      <c r="ADL12" s="13" t="s">
        <v>788</v>
      </c>
      <c r="ADM12" s="16" t="s">
        <v>789</v>
      </c>
      <c r="ADN12" s="13" t="s">
        <v>790</v>
      </c>
      <c r="ADO12" s="16" t="s">
        <v>791</v>
      </c>
      <c r="ADP12" s="13" t="s">
        <v>792</v>
      </c>
      <c r="ADQ12" s="16" t="s">
        <v>793</v>
      </c>
      <c r="ADR12" s="13" t="s">
        <v>794</v>
      </c>
      <c r="ADS12" s="16" t="s">
        <v>795</v>
      </c>
      <c r="ADT12" s="13" t="s">
        <v>796</v>
      </c>
      <c r="ADU12" s="16" t="s">
        <v>797</v>
      </c>
      <c r="ADV12" s="13" t="s">
        <v>798</v>
      </c>
      <c r="ADW12" s="16" t="s">
        <v>799</v>
      </c>
      <c r="ADX12" s="13" t="s">
        <v>800</v>
      </c>
      <c r="ADY12" s="16" t="s">
        <v>801</v>
      </c>
      <c r="ADZ12" s="13" t="s">
        <v>802</v>
      </c>
      <c r="AEA12" s="16" t="s">
        <v>803</v>
      </c>
      <c r="AEB12" s="13" t="s">
        <v>804</v>
      </c>
      <c r="AEC12" s="16" t="s">
        <v>805</v>
      </c>
      <c r="AED12" s="13" t="s">
        <v>806</v>
      </c>
      <c r="AEE12" s="16" t="s">
        <v>807</v>
      </c>
      <c r="AEF12" s="13" t="s">
        <v>808</v>
      </c>
      <c r="AEG12" s="16" t="s">
        <v>809</v>
      </c>
      <c r="AEH12" s="13" t="s">
        <v>810</v>
      </c>
      <c r="AEI12" s="16" t="s">
        <v>811</v>
      </c>
      <c r="AEJ12" s="13" t="s">
        <v>812</v>
      </c>
      <c r="AEK12" s="16" t="s">
        <v>813</v>
      </c>
      <c r="AEL12" s="13" t="s">
        <v>814</v>
      </c>
      <c r="AEM12" s="16" t="s">
        <v>815</v>
      </c>
      <c r="AEN12" s="13" t="s">
        <v>816</v>
      </c>
      <c r="AEO12" s="16" t="s">
        <v>817</v>
      </c>
      <c r="AEP12" s="13" t="s">
        <v>818</v>
      </c>
      <c r="AEQ12" s="16" t="s">
        <v>819</v>
      </c>
      <c r="AER12" s="13" t="s">
        <v>820</v>
      </c>
      <c r="AES12" s="16" t="s">
        <v>821</v>
      </c>
      <c r="AET12" s="13" t="s">
        <v>822</v>
      </c>
      <c r="AEU12" s="16" t="s">
        <v>823</v>
      </c>
      <c r="AEV12" s="13" t="s">
        <v>824</v>
      </c>
      <c r="AEW12" s="16" t="s">
        <v>825</v>
      </c>
      <c r="AEX12" s="13" t="s">
        <v>826</v>
      </c>
      <c r="AEY12" s="16" t="s">
        <v>827</v>
      </c>
      <c r="AEZ12" s="13" t="s">
        <v>828</v>
      </c>
      <c r="AFA12" s="16" t="s">
        <v>829</v>
      </c>
      <c r="AFB12" s="13" t="s">
        <v>830</v>
      </c>
      <c r="AFC12" s="16" t="s">
        <v>831</v>
      </c>
      <c r="AFD12" s="13" t="s">
        <v>832</v>
      </c>
      <c r="AFE12" s="16" t="s">
        <v>833</v>
      </c>
      <c r="AFF12" s="13" t="s">
        <v>834</v>
      </c>
      <c r="AFG12" s="16" t="s">
        <v>835</v>
      </c>
      <c r="AFH12" s="13" t="s">
        <v>836</v>
      </c>
      <c r="AFI12" s="16" t="s">
        <v>837</v>
      </c>
      <c r="AFJ12" s="13" t="s">
        <v>838</v>
      </c>
      <c r="AFK12" s="16" t="s">
        <v>839</v>
      </c>
      <c r="AFL12" s="13" t="s">
        <v>840</v>
      </c>
      <c r="AFM12" s="16" t="s">
        <v>841</v>
      </c>
      <c r="AFN12" s="13" t="s">
        <v>842</v>
      </c>
      <c r="AFO12" s="16" t="s">
        <v>843</v>
      </c>
      <c r="AFP12" s="13" t="s">
        <v>844</v>
      </c>
      <c r="AFQ12" s="16" t="s">
        <v>845</v>
      </c>
      <c r="AFR12" s="13" t="s">
        <v>846</v>
      </c>
      <c r="AFS12" s="16" t="s">
        <v>847</v>
      </c>
      <c r="AFT12" s="13" t="s">
        <v>848</v>
      </c>
      <c r="AFU12" s="16" t="s">
        <v>849</v>
      </c>
      <c r="AFV12" s="13" t="s">
        <v>850</v>
      </c>
      <c r="AFW12" s="16" t="s">
        <v>851</v>
      </c>
      <c r="AFX12" s="13" t="s">
        <v>852</v>
      </c>
      <c r="AFY12" s="16" t="s">
        <v>853</v>
      </c>
      <c r="AFZ12" s="13" t="s">
        <v>854</v>
      </c>
      <c r="AGA12" s="16" t="s">
        <v>855</v>
      </c>
      <c r="AGB12" s="13" t="s">
        <v>856</v>
      </c>
      <c r="AGC12" s="16" t="s">
        <v>857</v>
      </c>
      <c r="AGD12" s="13" t="s">
        <v>858</v>
      </c>
      <c r="AGE12" s="16" t="s">
        <v>859</v>
      </c>
      <c r="AGF12" s="13" t="s">
        <v>860</v>
      </c>
      <c r="AGG12" s="16" t="s">
        <v>861</v>
      </c>
      <c r="AGH12" s="13" t="s">
        <v>862</v>
      </c>
      <c r="AGI12" s="16" t="s">
        <v>863</v>
      </c>
      <c r="AGJ12" s="13" t="s">
        <v>864</v>
      </c>
      <c r="AGK12" s="16" t="s">
        <v>865</v>
      </c>
      <c r="AGL12" s="13" t="s">
        <v>866</v>
      </c>
      <c r="AGM12" s="16" t="s">
        <v>867</v>
      </c>
      <c r="AGN12" s="13" t="s">
        <v>868</v>
      </c>
      <c r="AGO12" s="16" t="s">
        <v>869</v>
      </c>
      <c r="AGP12" s="13" t="s">
        <v>870</v>
      </c>
      <c r="AGQ12" s="16" t="s">
        <v>871</v>
      </c>
      <c r="AGR12" s="13" t="s">
        <v>872</v>
      </c>
      <c r="AGS12" s="16" t="s">
        <v>873</v>
      </c>
      <c r="AGT12" s="13" t="s">
        <v>874</v>
      </c>
      <c r="AGU12" s="16" t="s">
        <v>875</v>
      </c>
      <c r="AGV12" s="13" t="s">
        <v>876</v>
      </c>
      <c r="AGW12" s="16" t="s">
        <v>877</v>
      </c>
      <c r="AGX12" s="13" t="s">
        <v>878</v>
      </c>
      <c r="AGY12" s="16" t="s">
        <v>879</v>
      </c>
      <c r="AGZ12" s="13" t="s">
        <v>880</v>
      </c>
      <c r="AHA12" s="16" t="s">
        <v>881</v>
      </c>
      <c r="AHB12" s="13" t="s">
        <v>882</v>
      </c>
      <c r="AHC12" s="16" t="s">
        <v>883</v>
      </c>
      <c r="AHD12" s="13" t="s">
        <v>884</v>
      </c>
      <c r="AHE12" s="16" t="s">
        <v>885</v>
      </c>
      <c r="AHF12" s="13" t="s">
        <v>886</v>
      </c>
      <c r="AHG12" s="16" t="s">
        <v>887</v>
      </c>
      <c r="AHH12" s="13" t="s">
        <v>888</v>
      </c>
      <c r="AHI12" s="16" t="s">
        <v>889</v>
      </c>
      <c r="AHJ12" s="13" t="s">
        <v>890</v>
      </c>
      <c r="AHK12" s="16" t="s">
        <v>891</v>
      </c>
      <c r="AHL12" s="13" t="s">
        <v>892</v>
      </c>
      <c r="AHM12" s="16" t="s">
        <v>893</v>
      </c>
      <c r="AHN12" s="13" t="s">
        <v>894</v>
      </c>
      <c r="AHO12" s="16" t="s">
        <v>895</v>
      </c>
      <c r="AHP12" s="13" t="s">
        <v>896</v>
      </c>
      <c r="AHQ12" s="16" t="s">
        <v>897</v>
      </c>
      <c r="AHR12" s="13" t="s">
        <v>898</v>
      </c>
      <c r="AHS12" s="16" t="s">
        <v>899</v>
      </c>
      <c r="AHT12" s="13" t="s">
        <v>900</v>
      </c>
      <c r="AHU12" s="16" t="s">
        <v>901</v>
      </c>
      <c r="AHV12" s="13" t="s">
        <v>902</v>
      </c>
      <c r="AHW12" s="16" t="s">
        <v>903</v>
      </c>
      <c r="AHX12" s="13" t="s">
        <v>904</v>
      </c>
      <c r="AHY12" s="16" t="s">
        <v>905</v>
      </c>
      <c r="AHZ12" s="13" t="s">
        <v>906</v>
      </c>
      <c r="AIA12" s="16" t="s">
        <v>907</v>
      </c>
      <c r="AIB12" s="13" t="s">
        <v>908</v>
      </c>
      <c r="AIC12" s="16" t="s">
        <v>909</v>
      </c>
      <c r="AID12" s="13" t="s">
        <v>910</v>
      </c>
      <c r="AIE12" s="16" t="s">
        <v>911</v>
      </c>
      <c r="AIF12" s="13" t="s">
        <v>912</v>
      </c>
      <c r="AIG12" s="16" t="s">
        <v>913</v>
      </c>
      <c r="AIH12" s="13" t="s">
        <v>914</v>
      </c>
      <c r="AII12" s="16" t="s">
        <v>915</v>
      </c>
      <c r="AIJ12" s="13" t="s">
        <v>916</v>
      </c>
      <c r="AIK12" s="16" t="s">
        <v>917</v>
      </c>
      <c r="AIL12" s="13" t="s">
        <v>918</v>
      </c>
      <c r="AIM12" s="16" t="s">
        <v>919</v>
      </c>
      <c r="AIN12" s="13" t="s">
        <v>920</v>
      </c>
      <c r="AIO12" s="16" t="s">
        <v>921</v>
      </c>
      <c r="AIP12" s="13" t="s">
        <v>922</v>
      </c>
      <c r="AIQ12" s="16" t="s">
        <v>923</v>
      </c>
      <c r="AIR12" s="13" t="s">
        <v>924</v>
      </c>
      <c r="AIS12" s="16" t="s">
        <v>925</v>
      </c>
      <c r="AIT12" s="13" t="s">
        <v>926</v>
      </c>
      <c r="AIU12" s="16" t="s">
        <v>927</v>
      </c>
      <c r="AIV12" s="13" t="s">
        <v>928</v>
      </c>
      <c r="AIW12" s="16" t="s">
        <v>929</v>
      </c>
      <c r="AIX12" s="13" t="s">
        <v>930</v>
      </c>
      <c r="AIY12" s="16" t="s">
        <v>931</v>
      </c>
      <c r="AIZ12" s="13" t="s">
        <v>932</v>
      </c>
      <c r="AJA12" s="16" t="s">
        <v>933</v>
      </c>
      <c r="AJB12" s="13" t="s">
        <v>934</v>
      </c>
      <c r="AJC12" s="16" t="s">
        <v>935</v>
      </c>
      <c r="AJD12" s="13" t="s">
        <v>936</v>
      </c>
      <c r="AJE12" s="16" t="s">
        <v>937</v>
      </c>
      <c r="AJF12" s="13" t="s">
        <v>938</v>
      </c>
      <c r="AJG12" s="16" t="s">
        <v>939</v>
      </c>
      <c r="AJH12" s="13" t="s">
        <v>940</v>
      </c>
      <c r="AJI12" s="16" t="s">
        <v>941</v>
      </c>
      <c r="AJJ12" s="13" t="s">
        <v>942</v>
      </c>
      <c r="AJK12" s="16" t="s">
        <v>943</v>
      </c>
      <c r="AJL12" s="13" t="s">
        <v>944</v>
      </c>
      <c r="AJM12" s="16" t="s">
        <v>945</v>
      </c>
      <c r="AJN12" s="13" t="s">
        <v>946</v>
      </c>
      <c r="AJO12" s="16" t="s">
        <v>947</v>
      </c>
      <c r="AJP12" s="13" t="s">
        <v>948</v>
      </c>
      <c r="AJQ12" s="16" t="s">
        <v>949</v>
      </c>
      <c r="AJR12" s="13" t="s">
        <v>950</v>
      </c>
      <c r="AJS12" s="16" t="s">
        <v>951</v>
      </c>
      <c r="AJT12" s="13" t="s">
        <v>952</v>
      </c>
      <c r="AJU12" s="16" t="s">
        <v>953</v>
      </c>
      <c r="AJV12" s="13" t="s">
        <v>954</v>
      </c>
      <c r="AJW12" s="16" t="s">
        <v>955</v>
      </c>
      <c r="AJX12" s="13" t="s">
        <v>956</v>
      </c>
      <c r="AJY12" s="16" t="s">
        <v>957</v>
      </c>
      <c r="AJZ12" s="13" t="s">
        <v>958</v>
      </c>
      <c r="AKA12" s="16" t="s">
        <v>959</v>
      </c>
      <c r="AKB12" s="13" t="s">
        <v>960</v>
      </c>
      <c r="AKC12" s="16" t="s">
        <v>961</v>
      </c>
      <c r="AKD12" s="13" t="s">
        <v>962</v>
      </c>
      <c r="AKE12" s="16" t="s">
        <v>963</v>
      </c>
      <c r="AKF12" s="13" t="s">
        <v>964</v>
      </c>
      <c r="AKG12" s="16" t="s">
        <v>965</v>
      </c>
      <c r="AKH12" s="13" t="s">
        <v>966</v>
      </c>
      <c r="AKI12" s="16" t="s">
        <v>967</v>
      </c>
      <c r="AKJ12" s="13" t="s">
        <v>968</v>
      </c>
      <c r="AKK12" s="16" t="s">
        <v>969</v>
      </c>
      <c r="AKL12" s="13" t="s">
        <v>970</v>
      </c>
      <c r="AKM12" s="16" t="s">
        <v>971</v>
      </c>
      <c r="AKN12" s="13" t="s">
        <v>972</v>
      </c>
      <c r="AKO12" s="16" t="s">
        <v>973</v>
      </c>
      <c r="AKP12" s="13" t="s">
        <v>974</v>
      </c>
      <c r="AKQ12" s="16" t="s">
        <v>975</v>
      </c>
      <c r="AKR12" s="13" t="s">
        <v>976</v>
      </c>
      <c r="AKS12" s="16" t="s">
        <v>977</v>
      </c>
      <c r="AKT12" s="13" t="s">
        <v>978</v>
      </c>
      <c r="AKU12" s="16" t="s">
        <v>979</v>
      </c>
      <c r="AKV12" s="13" t="s">
        <v>980</v>
      </c>
      <c r="AKW12" s="16" t="s">
        <v>981</v>
      </c>
      <c r="AKX12" s="13" t="s">
        <v>982</v>
      </c>
      <c r="AKY12" s="16" t="s">
        <v>983</v>
      </c>
      <c r="AKZ12" s="13" t="s">
        <v>984</v>
      </c>
      <c r="ALA12" s="16" t="s">
        <v>985</v>
      </c>
      <c r="ALB12" s="13" t="s">
        <v>986</v>
      </c>
      <c r="ALC12" s="16" t="s">
        <v>987</v>
      </c>
      <c r="ALD12" s="13" t="s">
        <v>988</v>
      </c>
      <c r="ALE12" s="16" t="s">
        <v>989</v>
      </c>
      <c r="ALF12" s="13" t="s">
        <v>990</v>
      </c>
      <c r="ALG12" s="16" t="s">
        <v>991</v>
      </c>
      <c r="ALH12" s="13" t="s">
        <v>992</v>
      </c>
      <c r="ALI12" s="16" t="s">
        <v>993</v>
      </c>
      <c r="ALJ12" s="13" t="s">
        <v>994</v>
      </c>
      <c r="ALK12" s="16" t="s">
        <v>995</v>
      </c>
      <c r="ALL12" s="13" t="s">
        <v>996</v>
      </c>
      <c r="ALM12" s="16" t="s">
        <v>997</v>
      </c>
      <c r="ALN12" s="13" t="s">
        <v>998</v>
      </c>
      <c r="ALO12" s="16" t="s">
        <v>999</v>
      </c>
      <c r="ALP12" s="13" t="s">
        <v>1000</v>
      </c>
      <c r="ALQ12" s="16" t="s">
        <v>1001</v>
      </c>
      <c r="ALR12" s="13" t="s">
        <v>1002</v>
      </c>
      <c r="ALS12" s="16" t="s">
        <v>1003</v>
      </c>
      <c r="ALT12" s="13" t="s">
        <v>1004</v>
      </c>
      <c r="ALU12" s="16" t="s">
        <v>1005</v>
      </c>
      <c r="ALV12" s="13" t="s">
        <v>1006</v>
      </c>
      <c r="ALW12" s="16" t="s">
        <v>1007</v>
      </c>
      <c r="ALX12" s="13" t="s">
        <v>1008</v>
      </c>
      <c r="ALY12" s="20" t="s">
        <v>1009</v>
      </c>
      <c r="ALZ12" s="17"/>
      <c r="AMA12" s="14"/>
      <c r="AMB12" s="21"/>
    </row>
    <row r="13" spans="1:1016" x14ac:dyDescent="0.25">
      <c r="A13" t="s">
        <v>21</v>
      </c>
      <c r="B13" s="1">
        <v>45229</v>
      </c>
      <c r="C13" t="s">
        <v>1010</v>
      </c>
      <c r="D13" t="s">
        <v>1019</v>
      </c>
      <c r="E13" t="s">
        <v>1029</v>
      </c>
      <c r="F13" t="s">
        <v>1033</v>
      </c>
      <c r="G13">
        <v>7</v>
      </c>
      <c r="H13">
        <v>20191</v>
      </c>
      <c r="I13">
        <v>5</v>
      </c>
      <c r="J13" t="s">
        <v>1035</v>
      </c>
      <c r="K13">
        <v>134270.15</v>
      </c>
      <c r="N13" s="23">
        <v>45254</v>
      </c>
      <c r="O13" s="24">
        <v>44984</v>
      </c>
      <c r="P13" s="23">
        <v>44939</v>
      </c>
      <c r="Q13" s="24">
        <v>45067</v>
      </c>
      <c r="R13" s="23">
        <v>45052</v>
      </c>
      <c r="S13" s="24">
        <v>45041</v>
      </c>
      <c r="T13" s="23">
        <v>44998</v>
      </c>
      <c r="U13" s="24">
        <v>44979</v>
      </c>
      <c r="V13" s="23">
        <v>45273</v>
      </c>
      <c r="W13" s="24">
        <v>45206</v>
      </c>
      <c r="X13" s="23">
        <v>44971</v>
      </c>
      <c r="Y13" s="24">
        <v>45229</v>
      </c>
      <c r="Z13" s="23">
        <v>45143</v>
      </c>
      <c r="AA13" s="24">
        <v>44943</v>
      </c>
      <c r="AB13" s="23">
        <v>44942</v>
      </c>
      <c r="AC13" s="24">
        <v>44974</v>
      </c>
      <c r="AD13" s="23">
        <v>45038</v>
      </c>
      <c r="AE13" s="24">
        <v>45046</v>
      </c>
      <c r="AF13" s="23">
        <v>45185</v>
      </c>
      <c r="AG13" s="24">
        <v>45235</v>
      </c>
      <c r="AH13" s="23">
        <v>44940</v>
      </c>
      <c r="AI13" s="24">
        <v>45214</v>
      </c>
      <c r="AJ13" s="23">
        <v>45028</v>
      </c>
      <c r="AK13" s="24">
        <v>45259</v>
      </c>
      <c r="AL13" s="23">
        <v>45286</v>
      </c>
      <c r="AM13" s="24">
        <v>45206</v>
      </c>
      <c r="AN13" s="23">
        <v>45141</v>
      </c>
      <c r="AO13" s="24">
        <v>45039</v>
      </c>
      <c r="AP13" s="23">
        <v>45156</v>
      </c>
      <c r="AQ13" s="24">
        <v>45228</v>
      </c>
      <c r="AR13" s="23">
        <v>45069</v>
      </c>
      <c r="AS13" s="24">
        <v>44930</v>
      </c>
      <c r="AT13" s="23">
        <v>45008</v>
      </c>
      <c r="AU13" s="24">
        <v>45284</v>
      </c>
      <c r="AV13" s="23">
        <v>45143</v>
      </c>
      <c r="AW13" s="24">
        <v>45101</v>
      </c>
      <c r="AX13" s="23">
        <v>45069</v>
      </c>
      <c r="AY13" s="24">
        <v>45006</v>
      </c>
      <c r="AZ13" s="23">
        <v>45037</v>
      </c>
      <c r="BA13" s="24">
        <v>45099</v>
      </c>
      <c r="BB13" s="23">
        <v>44979</v>
      </c>
      <c r="BC13" s="24">
        <v>44974</v>
      </c>
      <c r="BD13" s="23">
        <v>45121</v>
      </c>
      <c r="BE13" s="24">
        <v>44976</v>
      </c>
      <c r="BF13" s="23">
        <v>45110</v>
      </c>
      <c r="BG13" s="24">
        <v>45103</v>
      </c>
      <c r="BH13" s="23">
        <v>45236</v>
      </c>
      <c r="BI13" s="24">
        <v>45062</v>
      </c>
      <c r="BJ13" s="23">
        <v>44949</v>
      </c>
      <c r="BK13" s="24">
        <v>45162</v>
      </c>
      <c r="BL13" s="23">
        <v>45201</v>
      </c>
      <c r="BM13" s="24">
        <v>44990</v>
      </c>
      <c r="BN13" s="23">
        <v>45120</v>
      </c>
      <c r="BO13" s="24">
        <v>44967</v>
      </c>
      <c r="BP13" s="23">
        <v>45209</v>
      </c>
      <c r="BQ13" s="24">
        <v>45077</v>
      </c>
      <c r="BR13" s="23">
        <v>45248</v>
      </c>
      <c r="BS13" s="24">
        <v>45243</v>
      </c>
      <c r="BT13" s="23">
        <v>45112</v>
      </c>
      <c r="BU13" s="24">
        <v>45222</v>
      </c>
      <c r="BV13" s="23">
        <v>45025</v>
      </c>
      <c r="BW13" s="24">
        <v>45287</v>
      </c>
      <c r="BX13" s="23">
        <v>44962</v>
      </c>
      <c r="BY13" s="24">
        <v>44950</v>
      </c>
      <c r="BZ13" s="23">
        <v>45265</v>
      </c>
      <c r="CA13" s="24">
        <v>45043</v>
      </c>
      <c r="CB13" s="23">
        <v>45075</v>
      </c>
      <c r="CC13" s="24">
        <v>44967</v>
      </c>
      <c r="CD13" s="23">
        <v>45046</v>
      </c>
      <c r="CE13" s="24">
        <v>44978</v>
      </c>
      <c r="CF13" s="23">
        <v>45121</v>
      </c>
      <c r="CG13" s="24">
        <v>45069</v>
      </c>
      <c r="CH13" s="23">
        <v>45159</v>
      </c>
      <c r="CI13" s="24">
        <v>45252</v>
      </c>
      <c r="CJ13" s="23">
        <v>45113</v>
      </c>
      <c r="CK13" s="24">
        <v>45010</v>
      </c>
      <c r="CL13" s="23">
        <v>45116</v>
      </c>
      <c r="CM13" s="24">
        <v>45108</v>
      </c>
      <c r="CN13" s="23">
        <v>45034</v>
      </c>
      <c r="CO13" s="24">
        <v>45270</v>
      </c>
      <c r="CP13" s="23">
        <v>45063</v>
      </c>
      <c r="CQ13" s="24">
        <v>45286</v>
      </c>
      <c r="CR13" s="23">
        <v>45276</v>
      </c>
      <c r="CS13" s="24">
        <v>45258</v>
      </c>
      <c r="CT13" s="23">
        <v>44963</v>
      </c>
      <c r="CU13" s="24">
        <v>45238</v>
      </c>
      <c r="CV13" s="23">
        <v>45252</v>
      </c>
      <c r="CW13" s="24">
        <v>45014</v>
      </c>
      <c r="CX13" s="23">
        <v>45200</v>
      </c>
      <c r="CY13" s="24">
        <v>45052</v>
      </c>
      <c r="CZ13" s="23">
        <v>45010</v>
      </c>
      <c r="DA13" s="24">
        <v>45163</v>
      </c>
      <c r="DB13" s="23">
        <v>45121</v>
      </c>
      <c r="DC13" s="24">
        <v>45065</v>
      </c>
      <c r="DD13" s="23">
        <v>45254</v>
      </c>
      <c r="DE13" s="24">
        <v>45279</v>
      </c>
      <c r="DF13" s="23">
        <v>45212</v>
      </c>
      <c r="DG13" s="24">
        <v>45039</v>
      </c>
      <c r="DH13" s="23">
        <v>45277</v>
      </c>
      <c r="DI13" s="24">
        <v>45093</v>
      </c>
      <c r="DJ13" s="23">
        <v>44955</v>
      </c>
      <c r="DK13" s="24">
        <v>45044</v>
      </c>
      <c r="DL13" s="23">
        <v>44943</v>
      </c>
      <c r="DM13" s="24">
        <v>45088</v>
      </c>
      <c r="DN13" s="23">
        <v>45132</v>
      </c>
      <c r="DO13" s="24">
        <v>45064</v>
      </c>
      <c r="DP13" s="23">
        <v>44960</v>
      </c>
      <c r="DQ13" s="24">
        <v>45035</v>
      </c>
      <c r="DR13" s="23">
        <v>45217</v>
      </c>
      <c r="DS13" s="24">
        <v>45088</v>
      </c>
      <c r="DT13" s="23">
        <v>45035</v>
      </c>
      <c r="DU13" s="24">
        <v>45262</v>
      </c>
      <c r="DV13" s="23">
        <v>45182</v>
      </c>
      <c r="DW13" s="24">
        <v>45129</v>
      </c>
      <c r="DX13" s="23">
        <v>45256</v>
      </c>
      <c r="DY13" s="24">
        <v>45161</v>
      </c>
      <c r="DZ13" s="23">
        <v>45000</v>
      </c>
      <c r="EA13" s="24">
        <v>45062</v>
      </c>
      <c r="EB13" s="23">
        <v>44998</v>
      </c>
      <c r="EC13" s="24">
        <v>45053</v>
      </c>
      <c r="ED13" s="23">
        <v>45214</v>
      </c>
      <c r="EE13" s="24">
        <v>45202</v>
      </c>
      <c r="EF13" s="23">
        <v>45061</v>
      </c>
      <c r="EG13" s="24">
        <v>45226</v>
      </c>
      <c r="EH13" s="23">
        <v>45146</v>
      </c>
      <c r="EI13" s="24">
        <v>45225</v>
      </c>
      <c r="EJ13" s="23">
        <v>45131</v>
      </c>
      <c r="EK13" s="24">
        <v>45112</v>
      </c>
      <c r="EL13" s="23">
        <v>45039</v>
      </c>
      <c r="EM13" s="24">
        <v>44997</v>
      </c>
      <c r="EN13" s="23">
        <v>45187</v>
      </c>
      <c r="EO13" s="24">
        <v>45179</v>
      </c>
      <c r="EP13" s="23">
        <v>44973</v>
      </c>
      <c r="EQ13" s="24">
        <v>44951</v>
      </c>
      <c r="ER13" s="23">
        <v>44983</v>
      </c>
      <c r="ES13" s="24">
        <v>45005</v>
      </c>
      <c r="ET13" s="23">
        <v>45248</v>
      </c>
      <c r="EU13" s="24">
        <v>45008</v>
      </c>
      <c r="EV13" s="23">
        <v>45275</v>
      </c>
      <c r="EW13" s="24">
        <v>45143</v>
      </c>
      <c r="EX13" s="23">
        <v>45232</v>
      </c>
      <c r="EY13" s="24">
        <v>44959</v>
      </c>
      <c r="EZ13" s="23">
        <v>45124</v>
      </c>
      <c r="FA13" s="24">
        <v>45122</v>
      </c>
      <c r="FB13" s="23">
        <v>45232</v>
      </c>
      <c r="FC13" s="24">
        <v>45166</v>
      </c>
      <c r="FD13" s="23">
        <v>45197</v>
      </c>
      <c r="FE13" s="24">
        <v>45055</v>
      </c>
      <c r="FF13" s="23">
        <v>45210</v>
      </c>
      <c r="FG13" s="24">
        <v>44932</v>
      </c>
      <c r="FH13" s="23">
        <v>45275</v>
      </c>
      <c r="FI13" s="24">
        <v>44985</v>
      </c>
      <c r="FJ13" s="23">
        <v>45276</v>
      </c>
      <c r="FK13" s="24">
        <v>45201</v>
      </c>
      <c r="FL13" s="23">
        <v>45063</v>
      </c>
      <c r="FM13" s="24">
        <v>45255</v>
      </c>
      <c r="FN13" s="23">
        <v>45101</v>
      </c>
      <c r="FO13" s="24">
        <v>44984</v>
      </c>
      <c r="FP13" s="23">
        <v>45077</v>
      </c>
      <c r="FQ13" s="24">
        <v>45149</v>
      </c>
      <c r="FR13" s="23">
        <v>45007</v>
      </c>
      <c r="FS13" s="24">
        <v>45159</v>
      </c>
      <c r="FT13" s="23">
        <v>44928</v>
      </c>
      <c r="FU13" s="24">
        <v>45061</v>
      </c>
      <c r="FV13" s="23">
        <v>45183</v>
      </c>
      <c r="FW13" s="24">
        <v>45018</v>
      </c>
      <c r="FX13" s="23">
        <v>45186</v>
      </c>
      <c r="FY13" s="24">
        <v>44981</v>
      </c>
      <c r="FZ13" s="23">
        <v>45247</v>
      </c>
      <c r="GA13" s="24">
        <v>45079</v>
      </c>
      <c r="GB13" s="23">
        <v>45254</v>
      </c>
      <c r="GC13" s="24">
        <v>45186</v>
      </c>
      <c r="GD13" s="23">
        <v>45238</v>
      </c>
      <c r="GE13" s="24">
        <v>45028</v>
      </c>
      <c r="GF13" s="23">
        <v>45005</v>
      </c>
      <c r="GG13" s="24">
        <v>45118</v>
      </c>
      <c r="GH13" s="23">
        <v>45009</v>
      </c>
      <c r="GI13" s="24">
        <v>45203</v>
      </c>
      <c r="GJ13" s="23">
        <v>45198</v>
      </c>
      <c r="GK13" s="24">
        <v>44927</v>
      </c>
      <c r="GL13" s="23">
        <v>45233</v>
      </c>
      <c r="GM13" s="24">
        <v>45092</v>
      </c>
      <c r="GN13" s="23">
        <v>45177</v>
      </c>
      <c r="GO13" s="24">
        <v>44936</v>
      </c>
      <c r="GP13" s="23">
        <v>44984</v>
      </c>
      <c r="GQ13" s="24">
        <v>45112</v>
      </c>
      <c r="GR13" s="23">
        <v>45084</v>
      </c>
      <c r="GS13" s="24">
        <v>45049</v>
      </c>
      <c r="GT13" s="23">
        <v>44956</v>
      </c>
      <c r="GU13" s="24">
        <v>45050</v>
      </c>
      <c r="GV13" s="23">
        <v>45217</v>
      </c>
      <c r="GW13" s="24">
        <v>44967</v>
      </c>
      <c r="GX13" s="23">
        <v>44970</v>
      </c>
      <c r="GY13" s="24">
        <v>45175</v>
      </c>
      <c r="GZ13" s="23">
        <v>44962</v>
      </c>
      <c r="HA13" s="24">
        <v>45199</v>
      </c>
      <c r="HB13" s="23">
        <v>44991</v>
      </c>
      <c r="HC13" s="24">
        <v>44992</v>
      </c>
      <c r="HD13" s="23">
        <v>45264</v>
      </c>
      <c r="HE13" s="24">
        <v>45170</v>
      </c>
      <c r="HF13" s="23">
        <v>45208</v>
      </c>
      <c r="HG13" s="24">
        <v>45011</v>
      </c>
      <c r="HH13" s="23">
        <v>45062</v>
      </c>
      <c r="HI13" s="24">
        <v>45197</v>
      </c>
      <c r="HJ13" s="23">
        <v>45237</v>
      </c>
      <c r="HK13" s="24">
        <v>45143</v>
      </c>
      <c r="HL13" s="23">
        <v>45035</v>
      </c>
      <c r="HM13" s="24">
        <v>45203</v>
      </c>
      <c r="HN13" s="23">
        <v>45280</v>
      </c>
      <c r="HO13" s="24">
        <v>45029</v>
      </c>
      <c r="HP13" s="23">
        <v>45292</v>
      </c>
      <c r="HQ13" s="24">
        <v>45086</v>
      </c>
      <c r="HR13" s="23">
        <v>45131</v>
      </c>
      <c r="HS13" s="24">
        <v>45270</v>
      </c>
      <c r="HT13" s="23">
        <v>45259</v>
      </c>
      <c r="HU13" s="24">
        <v>45118</v>
      </c>
      <c r="HV13" s="23">
        <v>45151</v>
      </c>
      <c r="HW13" s="24">
        <v>45191</v>
      </c>
      <c r="HX13" s="23">
        <v>45158</v>
      </c>
      <c r="HY13" s="24">
        <v>44988</v>
      </c>
      <c r="HZ13" s="23">
        <v>45053</v>
      </c>
      <c r="IA13" s="24">
        <v>45042</v>
      </c>
      <c r="IB13" s="23">
        <v>44959</v>
      </c>
      <c r="IC13" s="24">
        <v>45100</v>
      </c>
      <c r="ID13" s="23">
        <v>44937</v>
      </c>
      <c r="IE13" s="24">
        <v>45228</v>
      </c>
      <c r="IF13" s="23">
        <v>45210</v>
      </c>
      <c r="IG13" s="24">
        <v>45044</v>
      </c>
      <c r="IH13" s="23">
        <v>45228</v>
      </c>
      <c r="II13" s="24">
        <v>45039</v>
      </c>
      <c r="IJ13" s="23">
        <v>44930</v>
      </c>
      <c r="IK13" s="24">
        <v>44963</v>
      </c>
      <c r="IL13" s="23">
        <v>45289</v>
      </c>
      <c r="IM13" s="24">
        <v>45250</v>
      </c>
      <c r="IN13" s="23">
        <v>44957</v>
      </c>
      <c r="IO13" s="24">
        <v>45044</v>
      </c>
      <c r="IP13" s="23">
        <v>44961</v>
      </c>
      <c r="IQ13" s="24">
        <v>44943</v>
      </c>
      <c r="IR13" s="23">
        <v>45096</v>
      </c>
      <c r="IS13" s="24">
        <v>44963</v>
      </c>
      <c r="IT13" s="23">
        <v>45190</v>
      </c>
      <c r="IU13" s="24">
        <v>45048</v>
      </c>
      <c r="IV13" s="23">
        <v>45069</v>
      </c>
      <c r="IW13" s="24">
        <v>45269</v>
      </c>
      <c r="IX13" s="23">
        <v>45175</v>
      </c>
      <c r="IY13" s="24">
        <v>45036</v>
      </c>
      <c r="IZ13" s="23">
        <v>45203</v>
      </c>
      <c r="JA13" s="24">
        <v>44994</v>
      </c>
      <c r="JB13" s="23">
        <v>45219</v>
      </c>
      <c r="JC13" s="24">
        <v>45222</v>
      </c>
      <c r="JD13" s="23">
        <v>45169</v>
      </c>
      <c r="JE13" s="24">
        <v>45051</v>
      </c>
      <c r="JF13" s="23">
        <v>45169</v>
      </c>
      <c r="JG13" s="24">
        <v>45135</v>
      </c>
      <c r="JH13" s="23">
        <v>45024</v>
      </c>
      <c r="JI13" s="24">
        <v>44975</v>
      </c>
      <c r="JJ13" s="23">
        <v>44976</v>
      </c>
      <c r="JK13" s="24">
        <v>45264</v>
      </c>
      <c r="JL13" s="23">
        <v>45147</v>
      </c>
      <c r="JM13" s="24">
        <v>45108</v>
      </c>
      <c r="JN13" s="23">
        <v>45143</v>
      </c>
      <c r="JO13" s="24">
        <v>45137</v>
      </c>
      <c r="JP13" s="23">
        <v>45166</v>
      </c>
      <c r="JQ13" s="24">
        <v>44954</v>
      </c>
      <c r="JR13" s="23">
        <v>45271</v>
      </c>
      <c r="JS13" s="24">
        <v>45261</v>
      </c>
      <c r="JT13" s="23">
        <v>45257</v>
      </c>
      <c r="JU13" s="24">
        <v>44977</v>
      </c>
      <c r="JV13" s="23">
        <v>44958</v>
      </c>
      <c r="JW13" s="24">
        <v>45133</v>
      </c>
      <c r="JX13" s="23">
        <v>45100</v>
      </c>
      <c r="JY13" s="24">
        <v>44982</v>
      </c>
      <c r="JZ13" s="23">
        <v>45054</v>
      </c>
      <c r="KA13" s="24">
        <v>45025</v>
      </c>
      <c r="KB13" s="23">
        <v>45024</v>
      </c>
      <c r="KC13" s="24">
        <v>45201</v>
      </c>
      <c r="KD13" s="23">
        <v>45156</v>
      </c>
      <c r="KE13" s="24">
        <v>44998</v>
      </c>
      <c r="KF13" s="23">
        <v>45143</v>
      </c>
      <c r="KG13" s="24">
        <v>45020</v>
      </c>
      <c r="KH13" s="23">
        <v>45069</v>
      </c>
      <c r="KI13" s="24">
        <v>45163</v>
      </c>
      <c r="KJ13" s="23">
        <v>45054</v>
      </c>
      <c r="KK13" s="24">
        <v>44965</v>
      </c>
      <c r="KL13" s="23">
        <v>45153</v>
      </c>
      <c r="KM13" s="24">
        <v>45208</v>
      </c>
      <c r="KN13" s="23">
        <v>44977</v>
      </c>
      <c r="KO13" s="24">
        <v>44952</v>
      </c>
      <c r="KP13" s="23">
        <v>45260</v>
      </c>
      <c r="KQ13" s="24">
        <v>45203</v>
      </c>
      <c r="KR13" s="23">
        <v>44934</v>
      </c>
      <c r="KS13" s="24">
        <v>44974</v>
      </c>
      <c r="KT13" s="23">
        <v>45048</v>
      </c>
      <c r="KU13" s="24">
        <v>45012</v>
      </c>
      <c r="KV13" s="23">
        <v>45135</v>
      </c>
      <c r="KW13" s="24">
        <v>45175</v>
      </c>
      <c r="KX13" s="23">
        <v>45173</v>
      </c>
      <c r="KY13" s="24">
        <v>45036</v>
      </c>
      <c r="KZ13" s="23">
        <v>45132</v>
      </c>
      <c r="LA13" s="24">
        <v>44957</v>
      </c>
      <c r="LB13" s="23">
        <v>45011</v>
      </c>
      <c r="LC13" s="24">
        <v>45121</v>
      </c>
      <c r="LD13" s="23">
        <v>44928</v>
      </c>
      <c r="LE13" s="24">
        <v>45126</v>
      </c>
      <c r="LF13" s="23">
        <v>45062</v>
      </c>
      <c r="LG13" s="24">
        <v>45159</v>
      </c>
      <c r="LH13" s="23">
        <v>45073</v>
      </c>
      <c r="LI13" s="24">
        <v>45143</v>
      </c>
      <c r="LJ13" s="23">
        <v>45283</v>
      </c>
      <c r="LK13" s="24">
        <v>45211</v>
      </c>
      <c r="LL13" s="23">
        <v>45265</v>
      </c>
      <c r="LM13" s="24">
        <v>45176</v>
      </c>
      <c r="LN13" s="23">
        <v>45006</v>
      </c>
      <c r="LO13" s="24">
        <v>45024</v>
      </c>
      <c r="LP13" s="23">
        <v>45078</v>
      </c>
      <c r="LQ13" s="24">
        <v>45038</v>
      </c>
      <c r="LR13" s="23">
        <v>44956</v>
      </c>
      <c r="LS13" s="24">
        <v>45223</v>
      </c>
      <c r="LT13" s="23">
        <v>45204</v>
      </c>
      <c r="LU13" s="24">
        <v>44958</v>
      </c>
      <c r="LV13" s="23">
        <v>45087</v>
      </c>
      <c r="LW13" s="24">
        <v>44956</v>
      </c>
      <c r="LX13" s="23">
        <v>44952</v>
      </c>
      <c r="LY13" s="24">
        <v>45226</v>
      </c>
      <c r="LZ13" s="23">
        <v>45171</v>
      </c>
      <c r="MA13" s="24">
        <v>45184</v>
      </c>
      <c r="MB13" s="23">
        <v>45198</v>
      </c>
      <c r="MC13" s="24">
        <v>45007</v>
      </c>
      <c r="MD13" s="23">
        <v>44956</v>
      </c>
      <c r="ME13" s="24">
        <v>45187</v>
      </c>
      <c r="MF13" s="23">
        <v>44968</v>
      </c>
      <c r="MG13" s="24">
        <v>45022</v>
      </c>
      <c r="MH13" s="23">
        <v>44962</v>
      </c>
      <c r="MI13" s="24">
        <v>45231</v>
      </c>
      <c r="MJ13" s="23">
        <v>44961</v>
      </c>
      <c r="MK13" s="24">
        <v>45272</v>
      </c>
      <c r="ML13" s="23">
        <v>45047</v>
      </c>
      <c r="MM13" s="24">
        <v>45133</v>
      </c>
      <c r="MN13" s="23">
        <v>44988</v>
      </c>
      <c r="MO13" s="24">
        <v>45218</v>
      </c>
      <c r="MP13" s="23">
        <v>45053</v>
      </c>
      <c r="MQ13" s="24">
        <v>45223</v>
      </c>
      <c r="MR13" s="23">
        <v>45231</v>
      </c>
      <c r="MS13" s="24">
        <v>44947</v>
      </c>
      <c r="MT13" s="23">
        <v>45244</v>
      </c>
      <c r="MU13" s="24">
        <v>44968</v>
      </c>
      <c r="MV13" s="23">
        <v>45141</v>
      </c>
      <c r="MW13" s="24">
        <v>45263</v>
      </c>
      <c r="MX13" s="23">
        <v>45225</v>
      </c>
      <c r="MY13" s="24">
        <v>45216</v>
      </c>
      <c r="MZ13" s="23">
        <v>45194</v>
      </c>
      <c r="NA13" s="24">
        <v>45088</v>
      </c>
      <c r="NB13" s="23">
        <v>45060</v>
      </c>
      <c r="NC13" s="24">
        <v>45031</v>
      </c>
      <c r="ND13" s="23">
        <v>45269</v>
      </c>
      <c r="NE13" s="24">
        <v>45087</v>
      </c>
      <c r="NF13" s="23">
        <v>45049</v>
      </c>
      <c r="NG13" s="24">
        <v>45062</v>
      </c>
      <c r="NH13" s="23">
        <v>45129</v>
      </c>
      <c r="NI13" s="24">
        <v>44994</v>
      </c>
      <c r="NJ13" s="23">
        <v>45270</v>
      </c>
      <c r="NK13" s="24">
        <v>45257</v>
      </c>
      <c r="NL13" s="23">
        <v>45080</v>
      </c>
      <c r="NM13" s="24">
        <v>45161</v>
      </c>
      <c r="NN13" s="23">
        <v>45088</v>
      </c>
      <c r="NO13" s="24">
        <v>44964</v>
      </c>
      <c r="NP13" s="23">
        <v>44931</v>
      </c>
      <c r="NQ13" s="24">
        <v>45161</v>
      </c>
      <c r="NR13" s="23">
        <v>45245</v>
      </c>
      <c r="NS13" s="24">
        <v>45215</v>
      </c>
      <c r="NT13" s="23">
        <v>44978</v>
      </c>
      <c r="NU13" s="24">
        <v>44964</v>
      </c>
      <c r="NV13" s="23">
        <v>45202</v>
      </c>
      <c r="NW13" s="24">
        <v>45036</v>
      </c>
      <c r="NX13" s="23">
        <v>45186</v>
      </c>
      <c r="NY13" s="24">
        <v>45062</v>
      </c>
      <c r="NZ13" s="23">
        <v>44994</v>
      </c>
      <c r="OA13" s="24">
        <v>45105</v>
      </c>
      <c r="OB13" s="23">
        <v>44962</v>
      </c>
      <c r="OC13" s="24">
        <v>45052</v>
      </c>
      <c r="OD13" s="23">
        <v>45116</v>
      </c>
      <c r="OE13" s="24">
        <v>45072</v>
      </c>
      <c r="OF13" s="23">
        <v>45007</v>
      </c>
      <c r="OG13" s="24">
        <v>45151</v>
      </c>
      <c r="OH13" s="23">
        <v>45205</v>
      </c>
      <c r="OI13" s="24">
        <v>45287</v>
      </c>
      <c r="OJ13" s="23">
        <v>45081</v>
      </c>
      <c r="OK13" s="24">
        <v>45240</v>
      </c>
      <c r="OL13" s="23">
        <v>45261</v>
      </c>
      <c r="OM13" s="24">
        <v>45197</v>
      </c>
      <c r="ON13" s="23">
        <v>44931</v>
      </c>
      <c r="OO13" s="24">
        <v>45268</v>
      </c>
      <c r="OP13" s="23">
        <v>45210</v>
      </c>
      <c r="OQ13" s="24">
        <v>45080</v>
      </c>
      <c r="OR13" s="23">
        <v>45266</v>
      </c>
      <c r="OS13" s="24">
        <v>44980</v>
      </c>
      <c r="OT13" s="23">
        <v>44995</v>
      </c>
      <c r="OU13" s="24">
        <v>45062</v>
      </c>
      <c r="OV13" s="23">
        <v>44986</v>
      </c>
      <c r="OW13" s="24">
        <v>44981</v>
      </c>
      <c r="OX13" s="23">
        <v>45210</v>
      </c>
      <c r="OY13" s="24">
        <v>45006</v>
      </c>
      <c r="OZ13" s="23">
        <v>45066</v>
      </c>
      <c r="PA13" s="24">
        <v>45071</v>
      </c>
      <c r="PB13" s="23">
        <v>45236</v>
      </c>
      <c r="PC13" s="24">
        <v>45034</v>
      </c>
      <c r="PD13" s="23">
        <v>45102</v>
      </c>
      <c r="PE13" s="24">
        <v>45031</v>
      </c>
      <c r="PF13" s="23">
        <v>45278</v>
      </c>
      <c r="PG13" s="24">
        <v>45251</v>
      </c>
      <c r="PH13" s="23">
        <v>45062</v>
      </c>
      <c r="PI13" s="24">
        <v>45185</v>
      </c>
      <c r="PJ13" s="23">
        <v>45177</v>
      </c>
      <c r="PK13" s="24">
        <v>45055</v>
      </c>
      <c r="PL13" s="23">
        <v>44953</v>
      </c>
      <c r="PM13" s="24">
        <v>44974</v>
      </c>
      <c r="PN13" s="23">
        <v>45251</v>
      </c>
      <c r="PO13" s="24">
        <v>45143</v>
      </c>
      <c r="PP13" s="23">
        <v>45068</v>
      </c>
      <c r="PQ13" s="24">
        <v>44949</v>
      </c>
      <c r="PR13" s="23">
        <v>44928</v>
      </c>
      <c r="PS13" s="24">
        <v>45097</v>
      </c>
      <c r="PT13" s="23">
        <v>44993</v>
      </c>
      <c r="PU13" s="24">
        <v>45253</v>
      </c>
      <c r="PV13" s="23">
        <v>45061</v>
      </c>
      <c r="PW13" s="24">
        <v>45009</v>
      </c>
      <c r="PX13" s="23">
        <v>45153</v>
      </c>
      <c r="PY13" s="24">
        <v>45209</v>
      </c>
      <c r="PZ13" s="23">
        <v>45288</v>
      </c>
      <c r="QA13" s="24">
        <v>45145</v>
      </c>
      <c r="QB13" s="23">
        <v>45214</v>
      </c>
      <c r="QC13" s="24">
        <v>44931</v>
      </c>
      <c r="QD13" s="23">
        <v>44984</v>
      </c>
      <c r="QE13" s="24">
        <v>44965</v>
      </c>
      <c r="QF13" s="23">
        <v>45280</v>
      </c>
      <c r="QG13" s="24">
        <v>45003</v>
      </c>
      <c r="QH13" s="23">
        <v>45206</v>
      </c>
      <c r="QI13" s="24">
        <v>44945</v>
      </c>
      <c r="QJ13" s="23">
        <v>45116</v>
      </c>
      <c r="QK13" s="24">
        <v>45225</v>
      </c>
      <c r="QL13" s="23">
        <v>45209</v>
      </c>
      <c r="QM13" s="24">
        <v>45002</v>
      </c>
      <c r="QN13" s="23">
        <v>45147</v>
      </c>
      <c r="QO13" s="24">
        <v>44992</v>
      </c>
      <c r="QP13" s="23">
        <v>44948</v>
      </c>
      <c r="QQ13" s="24">
        <v>45084</v>
      </c>
      <c r="QR13" s="23">
        <v>45113</v>
      </c>
      <c r="QS13" s="24">
        <v>44947</v>
      </c>
      <c r="QT13" s="23">
        <v>45110</v>
      </c>
      <c r="QU13" s="24">
        <v>45034</v>
      </c>
      <c r="QV13" s="23">
        <v>45276</v>
      </c>
      <c r="QW13" s="24">
        <v>45054</v>
      </c>
      <c r="QX13" s="23">
        <v>45268</v>
      </c>
      <c r="QY13" s="24">
        <v>44979</v>
      </c>
      <c r="QZ13" s="23">
        <v>45108</v>
      </c>
      <c r="RA13" s="24">
        <v>45213</v>
      </c>
      <c r="RB13" s="23">
        <v>45135</v>
      </c>
      <c r="RC13" s="24">
        <v>45244</v>
      </c>
      <c r="RD13" s="23">
        <v>45006</v>
      </c>
      <c r="RE13" s="24">
        <v>45048</v>
      </c>
      <c r="RF13" s="23">
        <v>45010</v>
      </c>
      <c r="RG13" s="24">
        <v>45017</v>
      </c>
      <c r="RH13" s="23">
        <v>45138</v>
      </c>
      <c r="RI13" s="24">
        <v>44939</v>
      </c>
      <c r="RJ13" s="23">
        <v>45018</v>
      </c>
      <c r="RK13" s="24">
        <v>45097</v>
      </c>
      <c r="RL13" s="23">
        <v>45137</v>
      </c>
      <c r="RM13" s="24">
        <v>45269</v>
      </c>
      <c r="RN13" s="23">
        <v>45054</v>
      </c>
      <c r="RO13" s="24">
        <v>45063</v>
      </c>
      <c r="RP13" s="23">
        <v>45008</v>
      </c>
      <c r="RQ13" s="24">
        <v>45286</v>
      </c>
      <c r="RR13" s="23">
        <v>44982</v>
      </c>
      <c r="RS13" s="24">
        <v>45122</v>
      </c>
      <c r="RT13" s="23">
        <v>44946</v>
      </c>
      <c r="RU13" s="24">
        <v>45167</v>
      </c>
      <c r="RV13" s="23">
        <v>45040</v>
      </c>
      <c r="RW13" s="24">
        <v>45029</v>
      </c>
      <c r="RX13" s="23">
        <v>45162</v>
      </c>
      <c r="RY13" s="24">
        <v>45106</v>
      </c>
      <c r="RZ13" s="23">
        <v>45083</v>
      </c>
      <c r="SA13" s="24">
        <v>45043</v>
      </c>
      <c r="SB13" s="23">
        <v>45041</v>
      </c>
      <c r="SC13" s="24">
        <v>44939</v>
      </c>
      <c r="SD13" s="23">
        <v>45264</v>
      </c>
      <c r="SE13" s="24">
        <v>45025</v>
      </c>
      <c r="SF13" s="23">
        <v>45131</v>
      </c>
      <c r="SG13" s="24">
        <v>45095</v>
      </c>
      <c r="SH13" s="23">
        <v>45069</v>
      </c>
      <c r="SI13" s="24">
        <v>44962</v>
      </c>
      <c r="SJ13" s="23">
        <v>45069</v>
      </c>
      <c r="SK13" s="24">
        <v>45106</v>
      </c>
      <c r="SL13" s="23">
        <v>45255</v>
      </c>
      <c r="SM13" s="24">
        <v>45187</v>
      </c>
      <c r="SN13" s="23">
        <v>45131</v>
      </c>
      <c r="SO13" s="24">
        <v>45274</v>
      </c>
      <c r="SP13" s="23">
        <v>45201</v>
      </c>
      <c r="SQ13" s="24">
        <v>45096</v>
      </c>
      <c r="SR13" s="23">
        <v>44941</v>
      </c>
      <c r="SS13" s="24">
        <v>44986</v>
      </c>
      <c r="ST13" s="23">
        <v>45060</v>
      </c>
      <c r="SU13" s="24">
        <v>45018</v>
      </c>
      <c r="SV13" s="23">
        <v>45224</v>
      </c>
      <c r="SW13" s="24">
        <v>45062</v>
      </c>
      <c r="SX13" s="23">
        <v>44946</v>
      </c>
      <c r="SY13" s="24">
        <v>44982</v>
      </c>
      <c r="SZ13" s="23">
        <v>45232</v>
      </c>
      <c r="TA13" s="24">
        <v>45149</v>
      </c>
      <c r="TB13" s="23">
        <v>45103</v>
      </c>
      <c r="TC13" s="24">
        <v>45087</v>
      </c>
      <c r="TD13" s="23">
        <v>45150</v>
      </c>
      <c r="TE13" s="24">
        <v>45237</v>
      </c>
      <c r="TF13" s="23">
        <v>45188</v>
      </c>
      <c r="TG13" s="24">
        <v>44986</v>
      </c>
      <c r="TH13" s="23">
        <v>45124</v>
      </c>
      <c r="TI13" s="24">
        <v>45222</v>
      </c>
      <c r="TJ13" s="23">
        <v>45024</v>
      </c>
      <c r="TK13" s="24">
        <v>45057</v>
      </c>
      <c r="TL13" s="23">
        <v>44949</v>
      </c>
      <c r="TM13" s="24">
        <v>45289</v>
      </c>
      <c r="TN13" s="23">
        <v>45150</v>
      </c>
      <c r="TO13" s="24">
        <v>44927</v>
      </c>
      <c r="TP13" s="23">
        <v>45193</v>
      </c>
      <c r="TQ13" s="24">
        <v>45202</v>
      </c>
      <c r="TR13" s="23">
        <v>45278</v>
      </c>
      <c r="TS13" s="24">
        <v>45270</v>
      </c>
      <c r="TT13" s="23">
        <v>45027</v>
      </c>
      <c r="TU13" s="24">
        <v>45113</v>
      </c>
      <c r="TV13" s="23">
        <v>45147</v>
      </c>
      <c r="TW13" s="24">
        <v>44962</v>
      </c>
      <c r="TX13" s="23">
        <v>45267</v>
      </c>
      <c r="TY13" s="24">
        <v>45096</v>
      </c>
      <c r="TZ13" s="23">
        <v>45246</v>
      </c>
      <c r="UA13" s="24">
        <v>45087</v>
      </c>
      <c r="UB13" s="23">
        <v>45266</v>
      </c>
      <c r="UC13" s="24">
        <v>44990</v>
      </c>
      <c r="UD13" s="23">
        <v>45080</v>
      </c>
      <c r="UE13" s="24">
        <v>45186</v>
      </c>
      <c r="UF13" s="23">
        <v>45085</v>
      </c>
      <c r="UG13" s="24">
        <v>45268</v>
      </c>
      <c r="UH13" s="23">
        <v>45136</v>
      </c>
      <c r="UI13" s="24">
        <v>45094</v>
      </c>
      <c r="UJ13" s="23">
        <v>45133</v>
      </c>
      <c r="UK13" s="24">
        <v>45283</v>
      </c>
      <c r="UL13" s="23">
        <v>45078</v>
      </c>
      <c r="UM13" s="24">
        <v>45210</v>
      </c>
      <c r="UN13" s="23">
        <v>44992</v>
      </c>
      <c r="UO13" s="24">
        <v>45025</v>
      </c>
      <c r="UP13" s="23">
        <v>45142</v>
      </c>
      <c r="UQ13" s="24">
        <v>45267</v>
      </c>
      <c r="UR13" s="23">
        <v>45121</v>
      </c>
      <c r="US13" s="24">
        <v>45273</v>
      </c>
      <c r="UT13" s="23">
        <v>45016</v>
      </c>
      <c r="UU13" s="24">
        <v>45242</v>
      </c>
      <c r="UV13" s="23">
        <v>45218</v>
      </c>
      <c r="UW13" s="24">
        <v>45081</v>
      </c>
      <c r="UX13" s="23">
        <v>45134</v>
      </c>
      <c r="UY13" s="24">
        <v>45207</v>
      </c>
      <c r="UZ13" s="23">
        <v>44927</v>
      </c>
      <c r="VA13" s="24">
        <v>45082</v>
      </c>
      <c r="VB13" s="23">
        <v>45073</v>
      </c>
      <c r="VC13" s="24">
        <v>45034</v>
      </c>
      <c r="VD13" s="23">
        <v>45147</v>
      </c>
      <c r="VE13" s="24">
        <v>45223</v>
      </c>
      <c r="VF13" s="23">
        <v>45237</v>
      </c>
      <c r="VG13" s="24">
        <v>45262</v>
      </c>
      <c r="VH13" s="23">
        <v>45091</v>
      </c>
      <c r="VI13" s="24">
        <v>45165</v>
      </c>
      <c r="VJ13" s="23">
        <v>45153</v>
      </c>
      <c r="VK13" s="24">
        <v>45153</v>
      </c>
      <c r="VL13" s="23">
        <v>45272</v>
      </c>
      <c r="VM13" s="24">
        <v>45036</v>
      </c>
      <c r="VN13" s="23">
        <v>45188</v>
      </c>
      <c r="VO13" s="24">
        <v>45169</v>
      </c>
      <c r="VP13" s="23">
        <v>45013</v>
      </c>
      <c r="VQ13" s="24">
        <v>45264</v>
      </c>
      <c r="VR13" s="23">
        <v>44970</v>
      </c>
      <c r="VS13" s="24">
        <v>45072</v>
      </c>
      <c r="VT13" s="23">
        <v>45190</v>
      </c>
      <c r="VU13" s="24">
        <v>45266</v>
      </c>
      <c r="VV13" s="23">
        <v>45251</v>
      </c>
      <c r="VW13" s="24">
        <v>45244</v>
      </c>
      <c r="VX13" s="23">
        <v>45098</v>
      </c>
      <c r="VY13" s="24">
        <v>44974</v>
      </c>
      <c r="VZ13" s="23">
        <v>45047</v>
      </c>
      <c r="WA13" s="24">
        <v>45271</v>
      </c>
      <c r="WB13" s="23">
        <v>45085</v>
      </c>
      <c r="WC13" s="24">
        <v>45042</v>
      </c>
      <c r="WD13" s="23">
        <v>45028</v>
      </c>
      <c r="WE13" s="24">
        <v>45002</v>
      </c>
      <c r="WF13" s="23">
        <v>44939</v>
      </c>
      <c r="WG13" s="24">
        <v>44950</v>
      </c>
      <c r="WH13" s="23">
        <v>45052</v>
      </c>
      <c r="WI13" s="24">
        <v>45170</v>
      </c>
      <c r="WJ13" s="23">
        <v>45239</v>
      </c>
      <c r="WK13" s="24">
        <v>44964</v>
      </c>
      <c r="WL13" s="23">
        <v>45160</v>
      </c>
      <c r="WM13" s="24">
        <v>45139</v>
      </c>
      <c r="WN13" s="23">
        <v>45249</v>
      </c>
      <c r="WO13" s="24">
        <v>45221</v>
      </c>
      <c r="WP13" s="23">
        <v>45026</v>
      </c>
      <c r="WQ13" s="24">
        <v>45283</v>
      </c>
      <c r="WR13" s="23">
        <v>45123</v>
      </c>
      <c r="WS13" s="24">
        <v>45180</v>
      </c>
      <c r="WT13" s="23">
        <v>45131</v>
      </c>
      <c r="WU13" s="24">
        <v>45051</v>
      </c>
      <c r="WV13" s="23">
        <v>45002</v>
      </c>
      <c r="WW13" s="24">
        <v>45262</v>
      </c>
      <c r="WX13" s="23">
        <v>45279</v>
      </c>
      <c r="WY13" s="24">
        <v>44929</v>
      </c>
      <c r="WZ13" s="23">
        <v>44981</v>
      </c>
      <c r="XA13" s="24">
        <v>45144</v>
      </c>
      <c r="XB13" s="23">
        <v>45039</v>
      </c>
      <c r="XC13" s="24">
        <v>45017</v>
      </c>
      <c r="XD13" s="23">
        <v>45283</v>
      </c>
      <c r="XE13" s="24">
        <v>45192</v>
      </c>
      <c r="XF13" s="23">
        <v>45164</v>
      </c>
      <c r="XG13" s="24">
        <v>44952</v>
      </c>
      <c r="XH13" s="23">
        <v>45212</v>
      </c>
      <c r="XI13" s="24">
        <v>45054</v>
      </c>
      <c r="XJ13" s="23">
        <v>44989</v>
      </c>
      <c r="XK13" s="24">
        <v>45160</v>
      </c>
      <c r="XL13" s="23">
        <v>44995</v>
      </c>
      <c r="XM13" s="24">
        <v>45164</v>
      </c>
      <c r="XN13" s="23">
        <v>45268</v>
      </c>
      <c r="XO13" s="24">
        <v>45198</v>
      </c>
      <c r="XP13" s="23">
        <v>45213</v>
      </c>
      <c r="XQ13" s="24">
        <v>45231</v>
      </c>
      <c r="XR13" s="23">
        <v>45089</v>
      </c>
      <c r="XS13" s="24">
        <v>45153</v>
      </c>
      <c r="XT13" s="23">
        <v>45240</v>
      </c>
      <c r="XU13" s="24">
        <v>45185</v>
      </c>
      <c r="XV13" s="23">
        <v>45145</v>
      </c>
      <c r="XW13" s="24">
        <v>45207</v>
      </c>
      <c r="XX13" s="23">
        <v>45155</v>
      </c>
      <c r="XY13" s="24">
        <v>45008</v>
      </c>
      <c r="XZ13" s="23">
        <v>45170</v>
      </c>
      <c r="YA13" s="24">
        <v>45157</v>
      </c>
      <c r="YB13" s="23">
        <v>45059</v>
      </c>
      <c r="YC13" s="24">
        <v>45053</v>
      </c>
      <c r="YD13" s="23">
        <v>45253</v>
      </c>
      <c r="YE13" s="24">
        <v>45068</v>
      </c>
      <c r="YF13" s="23">
        <v>45193</v>
      </c>
      <c r="YG13" s="24">
        <v>45175</v>
      </c>
      <c r="YH13" s="23">
        <v>45247</v>
      </c>
      <c r="YI13" s="24">
        <v>45049</v>
      </c>
      <c r="YJ13" s="23">
        <v>45067</v>
      </c>
      <c r="YK13" s="24">
        <v>45152</v>
      </c>
      <c r="YL13" s="23">
        <v>44966</v>
      </c>
      <c r="YM13" s="24">
        <v>45292</v>
      </c>
      <c r="YN13" s="23">
        <v>45073</v>
      </c>
      <c r="YO13" s="24">
        <v>45047</v>
      </c>
      <c r="YP13" s="23">
        <v>45066</v>
      </c>
      <c r="YQ13" s="24">
        <v>45098</v>
      </c>
      <c r="YR13" s="23">
        <v>45090</v>
      </c>
      <c r="YS13" s="24">
        <v>45203</v>
      </c>
      <c r="YT13" s="23">
        <v>44968</v>
      </c>
      <c r="YU13" s="24">
        <v>44997</v>
      </c>
      <c r="YV13" s="23">
        <v>45004</v>
      </c>
      <c r="YW13" s="24">
        <v>45045</v>
      </c>
      <c r="YX13" s="23">
        <v>45123</v>
      </c>
      <c r="YY13" s="24">
        <v>45282</v>
      </c>
      <c r="YZ13" s="23">
        <v>45005</v>
      </c>
      <c r="ZA13" s="24">
        <v>45288</v>
      </c>
      <c r="ZB13" s="23">
        <v>45036</v>
      </c>
      <c r="ZC13" s="24">
        <v>44959</v>
      </c>
      <c r="ZD13" s="23">
        <v>45139</v>
      </c>
      <c r="ZE13" s="24">
        <v>45135</v>
      </c>
      <c r="ZF13" s="23">
        <v>45096</v>
      </c>
      <c r="ZG13" s="24">
        <v>45204</v>
      </c>
      <c r="ZH13" s="23">
        <v>45165</v>
      </c>
      <c r="ZI13" s="24">
        <v>45139</v>
      </c>
      <c r="ZJ13" s="23">
        <v>44958</v>
      </c>
      <c r="ZK13" s="24">
        <v>45032</v>
      </c>
      <c r="ZL13" s="23">
        <v>45142</v>
      </c>
      <c r="ZM13" s="24">
        <v>45126</v>
      </c>
      <c r="ZN13" s="23">
        <v>45226</v>
      </c>
      <c r="ZO13" s="24">
        <v>45283</v>
      </c>
      <c r="ZP13" s="23">
        <v>44937</v>
      </c>
      <c r="ZQ13" s="24">
        <v>45221</v>
      </c>
      <c r="ZR13" s="23">
        <v>45121</v>
      </c>
      <c r="ZS13" s="24">
        <v>45171</v>
      </c>
      <c r="ZT13" s="23">
        <v>44930</v>
      </c>
      <c r="ZU13" s="24">
        <v>45107</v>
      </c>
      <c r="ZV13" s="23">
        <v>45079</v>
      </c>
      <c r="ZW13" s="24">
        <v>45126</v>
      </c>
      <c r="ZX13" s="23">
        <v>45141</v>
      </c>
      <c r="ZY13" s="24">
        <v>45202</v>
      </c>
      <c r="ZZ13" s="23">
        <v>45206</v>
      </c>
      <c r="AAA13" s="24">
        <v>45235</v>
      </c>
      <c r="AAB13" s="23">
        <v>45039</v>
      </c>
      <c r="AAC13" s="24">
        <v>45176</v>
      </c>
      <c r="AAD13" s="23">
        <v>45039</v>
      </c>
      <c r="AAE13" s="24">
        <v>45066</v>
      </c>
      <c r="AAF13" s="23">
        <v>45150</v>
      </c>
      <c r="AAG13" s="24">
        <v>45175</v>
      </c>
      <c r="AAH13" s="23">
        <v>44941</v>
      </c>
      <c r="AAI13" s="24">
        <v>45126</v>
      </c>
      <c r="AAJ13" s="23">
        <v>45099</v>
      </c>
      <c r="AAK13" s="24">
        <v>45269</v>
      </c>
      <c r="AAL13" s="23">
        <v>45274</v>
      </c>
      <c r="AAM13" s="24">
        <v>45134</v>
      </c>
      <c r="AAN13" s="23">
        <v>45011</v>
      </c>
      <c r="AAO13" s="24">
        <v>45166</v>
      </c>
      <c r="AAP13" s="23">
        <v>44992</v>
      </c>
      <c r="AAQ13" s="24">
        <v>45245</v>
      </c>
      <c r="AAR13" s="23">
        <v>45200</v>
      </c>
      <c r="AAS13" s="24">
        <v>44940</v>
      </c>
      <c r="AAT13" s="23">
        <v>45128</v>
      </c>
      <c r="AAU13" s="24">
        <v>45230</v>
      </c>
      <c r="AAV13" s="23">
        <v>45215</v>
      </c>
      <c r="AAW13" s="24">
        <v>45266</v>
      </c>
      <c r="AAX13" s="23">
        <v>44940</v>
      </c>
      <c r="AAY13" s="24">
        <v>44969</v>
      </c>
      <c r="AAZ13" s="23">
        <v>45256</v>
      </c>
      <c r="ABA13" s="24">
        <v>45146</v>
      </c>
      <c r="ABB13" s="23">
        <v>44996</v>
      </c>
      <c r="ABC13" s="24">
        <v>45163</v>
      </c>
      <c r="ABD13" s="23">
        <v>45020</v>
      </c>
      <c r="ABE13" s="24">
        <v>44952</v>
      </c>
      <c r="ABF13" s="23">
        <v>45060</v>
      </c>
      <c r="ABG13" s="24">
        <v>45121</v>
      </c>
      <c r="ABH13" s="23">
        <v>45094</v>
      </c>
      <c r="ABI13" s="24">
        <v>45035</v>
      </c>
      <c r="ABJ13" s="23">
        <v>45159</v>
      </c>
      <c r="ABK13" s="24">
        <v>45094</v>
      </c>
      <c r="ABL13" s="23">
        <v>45099</v>
      </c>
      <c r="ABM13" s="24">
        <v>45121</v>
      </c>
      <c r="ABN13" s="23">
        <v>45069</v>
      </c>
      <c r="ABO13" s="24">
        <v>45142</v>
      </c>
      <c r="ABP13" s="23">
        <v>45056</v>
      </c>
      <c r="ABQ13" s="24">
        <v>44968</v>
      </c>
      <c r="ABR13" s="23">
        <v>45167</v>
      </c>
      <c r="ABS13" s="24">
        <v>44936</v>
      </c>
      <c r="ABT13" s="23">
        <v>45203</v>
      </c>
      <c r="ABU13" s="24">
        <v>44953</v>
      </c>
      <c r="ABV13" s="23">
        <v>45106</v>
      </c>
      <c r="ABW13" s="24">
        <v>45041</v>
      </c>
      <c r="ABX13" s="23">
        <v>45259</v>
      </c>
      <c r="ABY13" s="24">
        <v>44962</v>
      </c>
      <c r="ABZ13" s="23">
        <v>45260</v>
      </c>
      <c r="ACA13" s="24">
        <v>44947</v>
      </c>
      <c r="ACB13" s="23">
        <v>44942</v>
      </c>
      <c r="ACC13" s="24">
        <v>45053</v>
      </c>
      <c r="ACD13" s="23">
        <v>45029</v>
      </c>
      <c r="ACE13" s="24">
        <v>44937</v>
      </c>
      <c r="ACF13" s="23">
        <v>45245</v>
      </c>
      <c r="ACG13" s="24">
        <v>45005</v>
      </c>
      <c r="ACH13" s="23">
        <v>45049</v>
      </c>
      <c r="ACI13" s="24">
        <v>44991</v>
      </c>
      <c r="ACJ13" s="23">
        <v>45169</v>
      </c>
      <c r="ACK13" s="24">
        <v>45269</v>
      </c>
      <c r="ACL13" s="23">
        <v>44985</v>
      </c>
      <c r="ACM13" s="24">
        <v>45215</v>
      </c>
      <c r="ACN13" s="23">
        <v>45038</v>
      </c>
      <c r="ACO13" s="24">
        <v>45165</v>
      </c>
      <c r="ACP13" s="23">
        <v>45285</v>
      </c>
      <c r="ACQ13" s="24">
        <v>45058</v>
      </c>
      <c r="ACR13" s="23">
        <v>45115</v>
      </c>
      <c r="ACS13" s="24">
        <v>45012</v>
      </c>
      <c r="ACT13" s="23">
        <v>45237</v>
      </c>
      <c r="ACU13" s="24">
        <v>45237</v>
      </c>
      <c r="ACV13" s="23">
        <v>44985</v>
      </c>
      <c r="ACW13" s="24">
        <v>45010</v>
      </c>
      <c r="ACX13" s="23">
        <v>45086</v>
      </c>
      <c r="ACY13" s="24">
        <v>44982</v>
      </c>
      <c r="ACZ13" s="23">
        <v>45223</v>
      </c>
      <c r="ADA13" s="24">
        <v>44940</v>
      </c>
      <c r="ADB13" s="23">
        <v>45086</v>
      </c>
      <c r="ADC13" s="24">
        <v>45221</v>
      </c>
      <c r="ADD13" s="23">
        <v>45273</v>
      </c>
      <c r="ADE13" s="24">
        <v>45119</v>
      </c>
      <c r="ADF13" s="23">
        <v>45130</v>
      </c>
      <c r="ADG13" s="24">
        <v>45028</v>
      </c>
      <c r="ADH13" s="23">
        <v>44965</v>
      </c>
      <c r="ADI13" s="24">
        <v>45230</v>
      </c>
      <c r="ADJ13" s="23">
        <v>45280</v>
      </c>
      <c r="ADK13" s="24">
        <v>45248</v>
      </c>
      <c r="ADL13" s="23">
        <v>45051</v>
      </c>
      <c r="ADM13" s="24">
        <v>44979</v>
      </c>
      <c r="ADN13" s="23">
        <v>45283</v>
      </c>
      <c r="ADO13" s="24">
        <v>45081</v>
      </c>
      <c r="ADP13" s="23">
        <v>45277</v>
      </c>
      <c r="ADQ13" s="24">
        <v>45234</v>
      </c>
      <c r="ADR13" s="23">
        <v>44988</v>
      </c>
      <c r="ADS13" s="24">
        <v>45216</v>
      </c>
      <c r="ADT13" s="23">
        <v>44948</v>
      </c>
      <c r="ADU13" s="24">
        <v>45104</v>
      </c>
      <c r="ADV13" s="23">
        <v>45199</v>
      </c>
      <c r="ADW13" s="24">
        <v>45146</v>
      </c>
      <c r="ADX13" s="23">
        <v>45265</v>
      </c>
      <c r="ADY13" s="24">
        <v>45116</v>
      </c>
      <c r="ADZ13" s="23">
        <v>44962</v>
      </c>
      <c r="AEA13" s="24">
        <v>45186</v>
      </c>
      <c r="AEB13" s="23">
        <v>45258</v>
      </c>
      <c r="AEC13" s="24">
        <v>45101</v>
      </c>
      <c r="AED13" s="23">
        <v>44933</v>
      </c>
      <c r="AEE13" s="24">
        <v>45142</v>
      </c>
      <c r="AEF13" s="23">
        <v>45177</v>
      </c>
      <c r="AEG13" s="24">
        <v>44981</v>
      </c>
      <c r="AEH13" s="23">
        <v>45148</v>
      </c>
      <c r="AEI13" s="24">
        <v>45112</v>
      </c>
      <c r="AEJ13" s="23">
        <v>45252</v>
      </c>
      <c r="AEK13" s="24">
        <v>45162</v>
      </c>
      <c r="AEL13" s="23">
        <v>45289</v>
      </c>
      <c r="AEM13" s="24">
        <v>45005</v>
      </c>
      <c r="AEN13" s="23">
        <v>45149</v>
      </c>
      <c r="AEO13" s="24">
        <v>45017</v>
      </c>
      <c r="AEP13" s="23">
        <v>45194</v>
      </c>
      <c r="AEQ13" s="24">
        <v>45260</v>
      </c>
      <c r="AER13" s="23">
        <v>45065</v>
      </c>
      <c r="AES13" s="24">
        <v>45242</v>
      </c>
      <c r="AET13" s="23">
        <v>45202</v>
      </c>
      <c r="AEU13" s="24">
        <v>45174</v>
      </c>
      <c r="AEV13" s="23">
        <v>45165</v>
      </c>
      <c r="AEW13" s="24">
        <v>45150</v>
      </c>
      <c r="AEX13" s="23">
        <v>45230</v>
      </c>
      <c r="AEY13" s="24">
        <v>45064</v>
      </c>
      <c r="AEZ13" s="23">
        <v>45092</v>
      </c>
      <c r="AFA13" s="24">
        <v>45052</v>
      </c>
      <c r="AFB13" s="23">
        <v>44971</v>
      </c>
      <c r="AFC13" s="24">
        <v>45069</v>
      </c>
      <c r="AFD13" s="23">
        <v>45157</v>
      </c>
      <c r="AFE13" s="24">
        <v>45051</v>
      </c>
      <c r="AFF13" s="23">
        <v>45164</v>
      </c>
      <c r="AFG13" s="24">
        <v>45218</v>
      </c>
      <c r="AFH13" s="23">
        <v>45239</v>
      </c>
      <c r="AFI13" s="24">
        <v>45269</v>
      </c>
      <c r="AFJ13" s="23">
        <v>45121</v>
      </c>
      <c r="AFK13" s="24">
        <v>45099</v>
      </c>
      <c r="AFL13" s="23">
        <v>44941</v>
      </c>
      <c r="AFM13" s="24">
        <v>45180</v>
      </c>
      <c r="AFN13" s="23">
        <v>45093</v>
      </c>
      <c r="AFO13" s="24">
        <v>45020</v>
      </c>
      <c r="AFP13" s="23">
        <v>45176</v>
      </c>
      <c r="AFQ13" s="24">
        <v>45035</v>
      </c>
      <c r="AFR13" s="23">
        <v>45108</v>
      </c>
      <c r="AFS13" s="24">
        <v>45059</v>
      </c>
      <c r="AFT13" s="23">
        <v>45101</v>
      </c>
      <c r="AFU13" s="24">
        <v>45070</v>
      </c>
      <c r="AFV13" s="23">
        <v>45232</v>
      </c>
      <c r="AFW13" s="24">
        <v>45286</v>
      </c>
      <c r="AFX13" s="23">
        <v>45068</v>
      </c>
      <c r="AFY13" s="24">
        <v>45211</v>
      </c>
      <c r="AFZ13" s="23">
        <v>44932</v>
      </c>
      <c r="AGA13" s="24">
        <v>45191</v>
      </c>
      <c r="AGB13" s="23">
        <v>45024</v>
      </c>
      <c r="AGC13" s="24">
        <v>44970</v>
      </c>
      <c r="AGD13" s="23">
        <v>45050</v>
      </c>
      <c r="AGE13" s="24">
        <v>45135</v>
      </c>
      <c r="AGF13" s="23">
        <v>45177</v>
      </c>
      <c r="AGG13" s="24">
        <v>45211</v>
      </c>
      <c r="AGH13" s="23">
        <v>45050</v>
      </c>
      <c r="AGI13" s="24">
        <v>45280</v>
      </c>
      <c r="AGJ13" s="23">
        <v>45170</v>
      </c>
      <c r="AGK13" s="24">
        <v>45257</v>
      </c>
      <c r="AGL13" s="23">
        <v>45291</v>
      </c>
      <c r="AGM13" s="24">
        <v>45178</v>
      </c>
      <c r="AGN13" s="23">
        <v>45156</v>
      </c>
      <c r="AGO13" s="24">
        <v>44935</v>
      </c>
      <c r="AGP13" s="23">
        <v>44974</v>
      </c>
      <c r="AGQ13" s="24">
        <v>45077</v>
      </c>
      <c r="AGR13" s="23">
        <v>45040</v>
      </c>
      <c r="AGS13" s="24">
        <v>45134</v>
      </c>
      <c r="AGT13" s="23">
        <v>45281</v>
      </c>
      <c r="AGU13" s="24">
        <v>45051</v>
      </c>
      <c r="AGV13" s="23">
        <v>45083</v>
      </c>
      <c r="AGW13" s="24">
        <v>45266</v>
      </c>
      <c r="AGX13" s="23">
        <v>45224</v>
      </c>
      <c r="AGY13" s="24">
        <v>45115</v>
      </c>
      <c r="AGZ13" s="23">
        <v>45169</v>
      </c>
      <c r="AHA13" s="24">
        <v>45210</v>
      </c>
      <c r="AHB13" s="23">
        <v>45198</v>
      </c>
      <c r="AHC13" s="24">
        <v>45103</v>
      </c>
      <c r="AHD13" s="23">
        <v>45144</v>
      </c>
      <c r="AHE13" s="24">
        <v>45208</v>
      </c>
      <c r="AHF13" s="23">
        <v>45096</v>
      </c>
      <c r="AHG13" s="24">
        <v>45107</v>
      </c>
      <c r="AHH13" s="23">
        <v>45286</v>
      </c>
      <c r="AHI13" s="24">
        <v>45159</v>
      </c>
      <c r="AHJ13" s="23">
        <v>45065</v>
      </c>
      <c r="AHK13" s="24">
        <v>45083</v>
      </c>
      <c r="AHL13" s="23">
        <v>45055</v>
      </c>
      <c r="AHM13" s="24">
        <v>45045</v>
      </c>
      <c r="AHN13" s="23">
        <v>44988</v>
      </c>
      <c r="AHO13" s="24">
        <v>45025</v>
      </c>
      <c r="AHP13" s="23">
        <v>45088</v>
      </c>
      <c r="AHQ13" s="24">
        <v>44988</v>
      </c>
      <c r="AHR13" s="23">
        <v>45201</v>
      </c>
      <c r="AHS13" s="24">
        <v>45280</v>
      </c>
      <c r="AHT13" s="23">
        <v>45021</v>
      </c>
      <c r="AHU13" s="24">
        <v>45025</v>
      </c>
      <c r="AHV13" s="23">
        <v>45037</v>
      </c>
      <c r="AHW13" s="24">
        <v>45174</v>
      </c>
      <c r="AHX13" s="23">
        <v>45068</v>
      </c>
      <c r="AHY13" s="24">
        <v>45228</v>
      </c>
      <c r="AHZ13" s="23">
        <v>45195</v>
      </c>
      <c r="AIA13" s="24">
        <v>45232</v>
      </c>
      <c r="AIB13" s="23">
        <v>45071</v>
      </c>
      <c r="AIC13" s="24">
        <v>44978</v>
      </c>
      <c r="AID13" s="23">
        <v>45026</v>
      </c>
      <c r="AIE13" s="24">
        <v>45078</v>
      </c>
      <c r="AIF13" s="23">
        <v>45043</v>
      </c>
      <c r="AIG13" s="24">
        <v>45111</v>
      </c>
      <c r="AIH13" s="23">
        <v>45018</v>
      </c>
      <c r="AII13" s="24">
        <v>45081</v>
      </c>
      <c r="AIJ13" s="23">
        <v>44934</v>
      </c>
      <c r="AIK13" s="24">
        <v>45289</v>
      </c>
      <c r="AIL13" s="23">
        <v>45200</v>
      </c>
      <c r="AIM13" s="24">
        <v>44991</v>
      </c>
      <c r="AIN13" s="23">
        <v>45067</v>
      </c>
      <c r="AIO13" s="24">
        <v>44950</v>
      </c>
      <c r="AIP13" s="23">
        <v>44954</v>
      </c>
      <c r="AIQ13" s="24">
        <v>45210</v>
      </c>
      <c r="AIR13" s="23">
        <v>45076</v>
      </c>
      <c r="AIS13" s="24">
        <v>45284</v>
      </c>
      <c r="AIT13" s="23">
        <v>44991</v>
      </c>
      <c r="AIU13" s="24">
        <v>45253</v>
      </c>
      <c r="AIV13" s="23">
        <v>45178</v>
      </c>
      <c r="AIW13" s="24">
        <v>44979</v>
      </c>
      <c r="AIX13" s="23">
        <v>44933</v>
      </c>
      <c r="AIY13" s="24">
        <v>45220</v>
      </c>
      <c r="AIZ13" s="23">
        <v>45072</v>
      </c>
      <c r="AJA13" s="24">
        <v>45167</v>
      </c>
      <c r="AJB13" s="23">
        <v>45172</v>
      </c>
      <c r="AJC13" s="24">
        <v>45152</v>
      </c>
      <c r="AJD13" s="23">
        <v>45101</v>
      </c>
      <c r="AJE13" s="24">
        <v>45021</v>
      </c>
      <c r="AJF13" s="23">
        <v>44953</v>
      </c>
      <c r="AJG13" s="24">
        <v>45056</v>
      </c>
      <c r="AJH13" s="23">
        <v>45171</v>
      </c>
      <c r="AJI13" s="24">
        <v>44985</v>
      </c>
      <c r="AJJ13" s="23">
        <v>44960</v>
      </c>
      <c r="AJK13" s="24">
        <v>45132</v>
      </c>
      <c r="AJL13" s="23">
        <v>45178</v>
      </c>
      <c r="AJM13" s="24">
        <v>44964</v>
      </c>
      <c r="AJN13" s="23">
        <v>45222</v>
      </c>
      <c r="AJO13" s="24">
        <v>45249</v>
      </c>
      <c r="AJP13" s="23">
        <v>45278</v>
      </c>
      <c r="AJQ13" s="24">
        <v>44954</v>
      </c>
      <c r="AJR13" s="23">
        <v>45004</v>
      </c>
      <c r="AJS13" s="24">
        <v>45003</v>
      </c>
      <c r="AJT13" s="23">
        <v>45215</v>
      </c>
      <c r="AJU13" s="24">
        <v>45082</v>
      </c>
      <c r="AJV13" s="23">
        <v>44970</v>
      </c>
      <c r="AJW13" s="24">
        <v>45054</v>
      </c>
      <c r="AJX13" s="23">
        <v>44987</v>
      </c>
      <c r="AJY13" s="24">
        <v>45212</v>
      </c>
      <c r="AJZ13" s="23">
        <v>45140</v>
      </c>
      <c r="AKA13" s="24">
        <v>45237</v>
      </c>
      <c r="AKB13" s="23">
        <v>45232</v>
      </c>
      <c r="AKC13" s="24">
        <v>45243</v>
      </c>
      <c r="AKD13" s="23">
        <v>45042</v>
      </c>
      <c r="AKE13" s="24">
        <v>45194</v>
      </c>
      <c r="AKF13" s="23">
        <v>45121</v>
      </c>
      <c r="AKG13" s="24">
        <v>45157</v>
      </c>
      <c r="AKH13" s="23">
        <v>45153</v>
      </c>
      <c r="AKI13" s="24">
        <v>45079</v>
      </c>
      <c r="AKJ13" s="23">
        <v>45228</v>
      </c>
      <c r="AKK13" s="24">
        <v>45146</v>
      </c>
      <c r="AKL13" s="23">
        <v>45083</v>
      </c>
      <c r="AKM13" s="24">
        <v>45218</v>
      </c>
      <c r="AKN13" s="23">
        <v>45244</v>
      </c>
      <c r="AKO13" s="24">
        <v>44957</v>
      </c>
      <c r="AKP13" s="23">
        <v>45239</v>
      </c>
      <c r="AKQ13" s="24">
        <v>44977</v>
      </c>
      <c r="AKR13" s="23">
        <v>45033</v>
      </c>
      <c r="AKS13" s="24">
        <v>45247</v>
      </c>
      <c r="AKT13" s="23">
        <v>45035</v>
      </c>
      <c r="AKU13" s="24">
        <v>45062</v>
      </c>
      <c r="AKV13" s="23">
        <v>45265</v>
      </c>
      <c r="AKW13" s="24">
        <v>44968</v>
      </c>
      <c r="AKX13" s="23">
        <v>45007</v>
      </c>
      <c r="AKY13" s="24">
        <v>45049</v>
      </c>
      <c r="AKZ13" s="23">
        <v>45015</v>
      </c>
      <c r="ALA13" s="24">
        <v>45209</v>
      </c>
      <c r="ALB13" s="23">
        <v>44965</v>
      </c>
      <c r="ALC13" s="24">
        <v>45007</v>
      </c>
      <c r="ALD13" s="23">
        <v>44928</v>
      </c>
      <c r="ALE13" s="24">
        <v>45136</v>
      </c>
      <c r="ALF13" s="23">
        <v>45157</v>
      </c>
      <c r="ALG13" s="24">
        <v>45279</v>
      </c>
      <c r="ALH13" s="23">
        <v>45231</v>
      </c>
      <c r="ALI13" s="24">
        <v>45167</v>
      </c>
      <c r="ALJ13" s="23">
        <v>45076</v>
      </c>
      <c r="ALK13" s="24">
        <v>44943</v>
      </c>
      <c r="ALL13" s="23">
        <v>45045</v>
      </c>
      <c r="ALM13" s="24">
        <v>45074</v>
      </c>
      <c r="ALN13" s="23">
        <v>45288</v>
      </c>
      <c r="ALO13" s="24">
        <v>45071</v>
      </c>
      <c r="ALP13" s="23">
        <v>45286</v>
      </c>
      <c r="ALQ13" s="24">
        <v>45159</v>
      </c>
      <c r="ALR13" s="23">
        <v>44963</v>
      </c>
      <c r="ALS13" s="24">
        <v>45278</v>
      </c>
      <c r="ALT13" s="23">
        <v>45046</v>
      </c>
      <c r="ALU13" s="24">
        <v>45062</v>
      </c>
      <c r="ALV13" s="23">
        <v>45247</v>
      </c>
      <c r="ALW13" s="24">
        <v>45228</v>
      </c>
      <c r="ALX13" s="23">
        <v>45265</v>
      </c>
      <c r="ALY13" s="25">
        <v>45028</v>
      </c>
      <c r="ALZ13" s="18"/>
      <c r="AMA13" s="15"/>
      <c r="AMB13" s="22"/>
    </row>
    <row r="14" spans="1:1016" x14ac:dyDescent="0.25">
      <c r="A14" t="s">
        <v>22</v>
      </c>
      <c r="B14" s="1">
        <v>45143</v>
      </c>
      <c r="C14" t="s">
        <v>1011</v>
      </c>
      <c r="D14" t="s">
        <v>1016</v>
      </c>
      <c r="E14" t="s">
        <v>1030</v>
      </c>
      <c r="F14" t="s">
        <v>1032</v>
      </c>
      <c r="G14">
        <v>8</v>
      </c>
      <c r="H14">
        <v>31855</v>
      </c>
      <c r="I14">
        <v>15</v>
      </c>
      <c r="J14" t="s">
        <v>1036</v>
      </c>
      <c r="K14">
        <v>216614</v>
      </c>
      <c r="N14" s="14" t="s">
        <v>1010</v>
      </c>
      <c r="O14" s="17" t="s">
        <v>1011</v>
      </c>
      <c r="P14" s="14" t="s">
        <v>1012</v>
      </c>
      <c r="Q14" s="17" t="s">
        <v>1012</v>
      </c>
      <c r="R14" s="14" t="s">
        <v>1013</v>
      </c>
      <c r="S14" s="17" t="s">
        <v>1012</v>
      </c>
      <c r="T14" s="14" t="s">
        <v>1011</v>
      </c>
      <c r="U14" s="17" t="s">
        <v>1011</v>
      </c>
      <c r="V14" s="14" t="s">
        <v>1012</v>
      </c>
      <c r="W14" s="17" t="s">
        <v>1013</v>
      </c>
      <c r="X14" s="14" t="s">
        <v>1013</v>
      </c>
      <c r="Y14" s="17" t="s">
        <v>1010</v>
      </c>
      <c r="Z14" s="14" t="s">
        <v>1011</v>
      </c>
      <c r="AA14" s="17" t="s">
        <v>1010</v>
      </c>
      <c r="AB14" s="14" t="s">
        <v>1013</v>
      </c>
      <c r="AC14" s="17" t="s">
        <v>1010</v>
      </c>
      <c r="AD14" s="14" t="s">
        <v>1013</v>
      </c>
      <c r="AE14" s="17" t="s">
        <v>1010</v>
      </c>
      <c r="AF14" s="14" t="s">
        <v>1010</v>
      </c>
      <c r="AG14" s="17" t="s">
        <v>1011</v>
      </c>
      <c r="AH14" s="14" t="s">
        <v>1011</v>
      </c>
      <c r="AI14" s="17" t="s">
        <v>1010</v>
      </c>
      <c r="AJ14" s="14" t="s">
        <v>1013</v>
      </c>
      <c r="AK14" s="17" t="s">
        <v>1013</v>
      </c>
      <c r="AL14" s="14" t="s">
        <v>1011</v>
      </c>
      <c r="AM14" s="17" t="s">
        <v>1011</v>
      </c>
      <c r="AN14" s="14" t="s">
        <v>1012</v>
      </c>
      <c r="AO14" s="17" t="s">
        <v>1011</v>
      </c>
      <c r="AP14" s="14" t="s">
        <v>1013</v>
      </c>
      <c r="AQ14" s="17" t="s">
        <v>1011</v>
      </c>
      <c r="AR14" s="14" t="s">
        <v>1012</v>
      </c>
      <c r="AS14" s="17" t="s">
        <v>1010</v>
      </c>
      <c r="AT14" s="14" t="s">
        <v>1010</v>
      </c>
      <c r="AU14" s="17" t="s">
        <v>1013</v>
      </c>
      <c r="AV14" s="14" t="s">
        <v>1012</v>
      </c>
      <c r="AW14" s="17" t="s">
        <v>1010</v>
      </c>
      <c r="AX14" s="14" t="s">
        <v>1010</v>
      </c>
      <c r="AY14" s="17" t="s">
        <v>1011</v>
      </c>
      <c r="AZ14" s="14" t="s">
        <v>1010</v>
      </c>
      <c r="BA14" s="17" t="s">
        <v>1013</v>
      </c>
      <c r="BB14" s="14" t="s">
        <v>1010</v>
      </c>
      <c r="BC14" s="17" t="s">
        <v>1013</v>
      </c>
      <c r="BD14" s="14" t="s">
        <v>1013</v>
      </c>
      <c r="BE14" s="17" t="s">
        <v>1011</v>
      </c>
      <c r="BF14" s="14" t="s">
        <v>1012</v>
      </c>
      <c r="BG14" s="17" t="s">
        <v>1013</v>
      </c>
      <c r="BH14" s="14" t="s">
        <v>1010</v>
      </c>
      <c r="BI14" s="17" t="s">
        <v>1010</v>
      </c>
      <c r="BJ14" s="14" t="s">
        <v>1013</v>
      </c>
      <c r="BK14" s="17" t="s">
        <v>1010</v>
      </c>
      <c r="BL14" s="14" t="s">
        <v>1011</v>
      </c>
      <c r="BM14" s="17" t="s">
        <v>1010</v>
      </c>
      <c r="BN14" s="14" t="s">
        <v>1011</v>
      </c>
      <c r="BO14" s="17" t="s">
        <v>1013</v>
      </c>
      <c r="BP14" s="14" t="s">
        <v>1013</v>
      </c>
      <c r="BQ14" s="17" t="s">
        <v>1013</v>
      </c>
      <c r="BR14" s="14" t="s">
        <v>1011</v>
      </c>
      <c r="BS14" s="17" t="s">
        <v>1010</v>
      </c>
      <c r="BT14" s="14" t="s">
        <v>1011</v>
      </c>
      <c r="BU14" s="17" t="s">
        <v>1010</v>
      </c>
      <c r="BV14" s="14" t="s">
        <v>1010</v>
      </c>
      <c r="BW14" s="17" t="s">
        <v>1011</v>
      </c>
      <c r="BX14" s="14" t="s">
        <v>1012</v>
      </c>
      <c r="BY14" s="17" t="s">
        <v>1013</v>
      </c>
      <c r="BZ14" s="14" t="s">
        <v>1010</v>
      </c>
      <c r="CA14" s="17" t="s">
        <v>1010</v>
      </c>
      <c r="CB14" s="14" t="s">
        <v>1011</v>
      </c>
      <c r="CC14" s="17" t="s">
        <v>1012</v>
      </c>
      <c r="CD14" s="14" t="s">
        <v>1013</v>
      </c>
      <c r="CE14" s="17" t="s">
        <v>1012</v>
      </c>
      <c r="CF14" s="14" t="s">
        <v>1013</v>
      </c>
      <c r="CG14" s="17" t="s">
        <v>1010</v>
      </c>
      <c r="CH14" s="14" t="s">
        <v>1010</v>
      </c>
      <c r="CI14" s="17" t="s">
        <v>1011</v>
      </c>
      <c r="CJ14" s="14" t="s">
        <v>1011</v>
      </c>
      <c r="CK14" s="17" t="s">
        <v>1012</v>
      </c>
      <c r="CL14" s="14" t="s">
        <v>1012</v>
      </c>
      <c r="CM14" s="17" t="s">
        <v>1013</v>
      </c>
      <c r="CN14" s="14" t="s">
        <v>1011</v>
      </c>
      <c r="CO14" s="17" t="s">
        <v>1010</v>
      </c>
      <c r="CP14" s="14" t="s">
        <v>1011</v>
      </c>
      <c r="CQ14" s="17" t="s">
        <v>1012</v>
      </c>
      <c r="CR14" s="14" t="s">
        <v>1011</v>
      </c>
      <c r="CS14" s="17" t="s">
        <v>1010</v>
      </c>
      <c r="CT14" s="14" t="s">
        <v>1011</v>
      </c>
      <c r="CU14" s="17" t="s">
        <v>1012</v>
      </c>
      <c r="CV14" s="14" t="s">
        <v>1010</v>
      </c>
      <c r="CW14" s="17" t="s">
        <v>1013</v>
      </c>
      <c r="CX14" s="14" t="s">
        <v>1013</v>
      </c>
      <c r="CY14" s="17" t="s">
        <v>1010</v>
      </c>
      <c r="CZ14" s="14" t="s">
        <v>1010</v>
      </c>
      <c r="DA14" s="17" t="s">
        <v>1010</v>
      </c>
      <c r="DB14" s="14" t="s">
        <v>1012</v>
      </c>
      <c r="DC14" s="17" t="s">
        <v>1010</v>
      </c>
      <c r="DD14" s="14" t="s">
        <v>1012</v>
      </c>
      <c r="DE14" s="17" t="s">
        <v>1010</v>
      </c>
      <c r="DF14" s="14" t="s">
        <v>1012</v>
      </c>
      <c r="DG14" s="17" t="s">
        <v>1012</v>
      </c>
      <c r="DH14" s="14" t="s">
        <v>1011</v>
      </c>
      <c r="DI14" s="17" t="s">
        <v>1013</v>
      </c>
      <c r="DJ14" s="14" t="s">
        <v>1010</v>
      </c>
      <c r="DK14" s="17" t="s">
        <v>1013</v>
      </c>
      <c r="DL14" s="14" t="s">
        <v>1013</v>
      </c>
      <c r="DM14" s="17" t="s">
        <v>1011</v>
      </c>
      <c r="DN14" s="14" t="s">
        <v>1013</v>
      </c>
      <c r="DO14" s="17" t="s">
        <v>1013</v>
      </c>
      <c r="DP14" s="14" t="s">
        <v>1010</v>
      </c>
      <c r="DQ14" s="17" t="s">
        <v>1012</v>
      </c>
      <c r="DR14" s="14" t="s">
        <v>1010</v>
      </c>
      <c r="DS14" s="17" t="s">
        <v>1010</v>
      </c>
      <c r="DT14" s="14" t="s">
        <v>1013</v>
      </c>
      <c r="DU14" s="17" t="s">
        <v>1013</v>
      </c>
      <c r="DV14" s="14" t="s">
        <v>1010</v>
      </c>
      <c r="DW14" s="17" t="s">
        <v>1010</v>
      </c>
      <c r="DX14" s="14" t="s">
        <v>1013</v>
      </c>
      <c r="DY14" s="17" t="s">
        <v>1012</v>
      </c>
      <c r="DZ14" s="14" t="s">
        <v>1012</v>
      </c>
      <c r="EA14" s="17" t="s">
        <v>1010</v>
      </c>
      <c r="EB14" s="14" t="s">
        <v>1012</v>
      </c>
      <c r="EC14" s="17" t="s">
        <v>1010</v>
      </c>
      <c r="ED14" s="14" t="s">
        <v>1011</v>
      </c>
      <c r="EE14" s="17" t="s">
        <v>1013</v>
      </c>
      <c r="EF14" s="14" t="s">
        <v>1010</v>
      </c>
      <c r="EG14" s="17" t="s">
        <v>1010</v>
      </c>
      <c r="EH14" s="14" t="s">
        <v>1010</v>
      </c>
      <c r="EI14" s="17" t="s">
        <v>1012</v>
      </c>
      <c r="EJ14" s="14" t="s">
        <v>1010</v>
      </c>
      <c r="EK14" s="17" t="s">
        <v>1011</v>
      </c>
      <c r="EL14" s="14" t="s">
        <v>1012</v>
      </c>
      <c r="EM14" s="17" t="s">
        <v>1013</v>
      </c>
      <c r="EN14" s="14" t="s">
        <v>1011</v>
      </c>
      <c r="EO14" s="17" t="s">
        <v>1010</v>
      </c>
      <c r="EP14" s="14" t="s">
        <v>1011</v>
      </c>
      <c r="EQ14" s="17" t="s">
        <v>1010</v>
      </c>
      <c r="ER14" s="14" t="s">
        <v>1011</v>
      </c>
      <c r="ES14" s="17" t="s">
        <v>1012</v>
      </c>
      <c r="ET14" s="14" t="s">
        <v>1010</v>
      </c>
      <c r="EU14" s="17" t="s">
        <v>1012</v>
      </c>
      <c r="EV14" s="14" t="s">
        <v>1011</v>
      </c>
      <c r="EW14" s="17" t="s">
        <v>1010</v>
      </c>
      <c r="EX14" s="14" t="s">
        <v>1013</v>
      </c>
      <c r="EY14" s="17" t="s">
        <v>1013</v>
      </c>
      <c r="EZ14" s="14" t="s">
        <v>1010</v>
      </c>
      <c r="FA14" s="17" t="s">
        <v>1011</v>
      </c>
      <c r="FB14" s="14" t="s">
        <v>1013</v>
      </c>
      <c r="FC14" s="17" t="s">
        <v>1010</v>
      </c>
      <c r="FD14" s="14" t="s">
        <v>1013</v>
      </c>
      <c r="FE14" s="17" t="s">
        <v>1010</v>
      </c>
      <c r="FF14" s="14" t="s">
        <v>1011</v>
      </c>
      <c r="FG14" s="17" t="s">
        <v>1011</v>
      </c>
      <c r="FH14" s="14" t="s">
        <v>1012</v>
      </c>
      <c r="FI14" s="17" t="s">
        <v>1013</v>
      </c>
      <c r="FJ14" s="14" t="s">
        <v>1012</v>
      </c>
      <c r="FK14" s="17" t="s">
        <v>1011</v>
      </c>
      <c r="FL14" s="14" t="s">
        <v>1010</v>
      </c>
      <c r="FM14" s="17" t="s">
        <v>1011</v>
      </c>
      <c r="FN14" s="14" t="s">
        <v>1011</v>
      </c>
      <c r="FO14" s="17" t="s">
        <v>1010</v>
      </c>
      <c r="FP14" s="14" t="s">
        <v>1012</v>
      </c>
      <c r="FQ14" s="17" t="s">
        <v>1013</v>
      </c>
      <c r="FR14" s="14" t="s">
        <v>1011</v>
      </c>
      <c r="FS14" s="17" t="s">
        <v>1011</v>
      </c>
      <c r="FT14" s="14" t="s">
        <v>1013</v>
      </c>
      <c r="FU14" s="17" t="s">
        <v>1011</v>
      </c>
      <c r="FV14" s="14" t="s">
        <v>1013</v>
      </c>
      <c r="FW14" s="17" t="s">
        <v>1013</v>
      </c>
      <c r="FX14" s="14" t="s">
        <v>1013</v>
      </c>
      <c r="FY14" s="17" t="s">
        <v>1010</v>
      </c>
      <c r="FZ14" s="14" t="s">
        <v>1012</v>
      </c>
      <c r="GA14" s="17" t="s">
        <v>1012</v>
      </c>
      <c r="GB14" s="14" t="s">
        <v>1010</v>
      </c>
      <c r="GC14" s="17" t="s">
        <v>1012</v>
      </c>
      <c r="GD14" s="14" t="s">
        <v>1012</v>
      </c>
      <c r="GE14" s="17" t="s">
        <v>1012</v>
      </c>
      <c r="GF14" s="14" t="s">
        <v>1011</v>
      </c>
      <c r="GG14" s="17" t="s">
        <v>1010</v>
      </c>
      <c r="GH14" s="14" t="s">
        <v>1012</v>
      </c>
      <c r="GI14" s="17" t="s">
        <v>1010</v>
      </c>
      <c r="GJ14" s="14" t="s">
        <v>1012</v>
      </c>
      <c r="GK14" s="17" t="s">
        <v>1012</v>
      </c>
      <c r="GL14" s="14" t="s">
        <v>1010</v>
      </c>
      <c r="GM14" s="17" t="s">
        <v>1013</v>
      </c>
      <c r="GN14" s="14" t="s">
        <v>1010</v>
      </c>
      <c r="GO14" s="17" t="s">
        <v>1013</v>
      </c>
      <c r="GP14" s="14" t="s">
        <v>1011</v>
      </c>
      <c r="GQ14" s="17" t="s">
        <v>1010</v>
      </c>
      <c r="GR14" s="14" t="s">
        <v>1013</v>
      </c>
      <c r="GS14" s="17" t="s">
        <v>1012</v>
      </c>
      <c r="GT14" s="14" t="s">
        <v>1011</v>
      </c>
      <c r="GU14" s="17" t="s">
        <v>1010</v>
      </c>
      <c r="GV14" s="14" t="s">
        <v>1013</v>
      </c>
      <c r="GW14" s="17" t="s">
        <v>1013</v>
      </c>
      <c r="GX14" s="14" t="s">
        <v>1010</v>
      </c>
      <c r="GY14" s="17" t="s">
        <v>1013</v>
      </c>
      <c r="GZ14" s="14" t="s">
        <v>1010</v>
      </c>
      <c r="HA14" s="17" t="s">
        <v>1013</v>
      </c>
      <c r="HB14" s="14" t="s">
        <v>1012</v>
      </c>
      <c r="HC14" s="17" t="s">
        <v>1010</v>
      </c>
      <c r="HD14" s="14" t="s">
        <v>1010</v>
      </c>
      <c r="HE14" s="17" t="s">
        <v>1011</v>
      </c>
      <c r="HF14" s="14" t="s">
        <v>1012</v>
      </c>
      <c r="HG14" s="17" t="s">
        <v>1010</v>
      </c>
      <c r="HH14" s="14" t="s">
        <v>1013</v>
      </c>
      <c r="HI14" s="17" t="s">
        <v>1013</v>
      </c>
      <c r="HJ14" s="14" t="s">
        <v>1013</v>
      </c>
      <c r="HK14" s="17" t="s">
        <v>1011</v>
      </c>
      <c r="HL14" s="14" t="s">
        <v>1010</v>
      </c>
      <c r="HM14" s="17" t="s">
        <v>1013</v>
      </c>
      <c r="HN14" s="14" t="s">
        <v>1011</v>
      </c>
      <c r="HO14" s="17" t="s">
        <v>1011</v>
      </c>
      <c r="HP14" s="14" t="s">
        <v>1010</v>
      </c>
      <c r="HQ14" s="17" t="s">
        <v>1013</v>
      </c>
      <c r="HR14" s="14" t="s">
        <v>1012</v>
      </c>
      <c r="HS14" s="17" t="s">
        <v>1013</v>
      </c>
      <c r="HT14" s="14" t="s">
        <v>1012</v>
      </c>
      <c r="HU14" s="17" t="s">
        <v>1012</v>
      </c>
      <c r="HV14" s="14" t="s">
        <v>1013</v>
      </c>
      <c r="HW14" s="17" t="s">
        <v>1012</v>
      </c>
      <c r="HX14" s="14" t="s">
        <v>1011</v>
      </c>
      <c r="HY14" s="17" t="s">
        <v>1011</v>
      </c>
      <c r="HZ14" s="14" t="s">
        <v>1013</v>
      </c>
      <c r="IA14" s="17" t="s">
        <v>1010</v>
      </c>
      <c r="IB14" s="14" t="s">
        <v>1011</v>
      </c>
      <c r="IC14" s="17" t="s">
        <v>1013</v>
      </c>
      <c r="ID14" s="14" t="s">
        <v>1012</v>
      </c>
      <c r="IE14" s="17" t="s">
        <v>1011</v>
      </c>
      <c r="IF14" s="14" t="s">
        <v>1013</v>
      </c>
      <c r="IG14" s="17" t="s">
        <v>1013</v>
      </c>
      <c r="IH14" s="14" t="s">
        <v>1010</v>
      </c>
      <c r="II14" s="17" t="s">
        <v>1012</v>
      </c>
      <c r="IJ14" s="14" t="s">
        <v>1012</v>
      </c>
      <c r="IK14" s="17" t="s">
        <v>1012</v>
      </c>
      <c r="IL14" s="14" t="s">
        <v>1013</v>
      </c>
      <c r="IM14" s="17" t="s">
        <v>1013</v>
      </c>
      <c r="IN14" s="14" t="s">
        <v>1012</v>
      </c>
      <c r="IO14" s="17" t="s">
        <v>1013</v>
      </c>
      <c r="IP14" s="14" t="s">
        <v>1010</v>
      </c>
      <c r="IQ14" s="17" t="s">
        <v>1013</v>
      </c>
      <c r="IR14" s="14" t="s">
        <v>1013</v>
      </c>
      <c r="IS14" s="17" t="s">
        <v>1011</v>
      </c>
      <c r="IT14" s="14" t="s">
        <v>1010</v>
      </c>
      <c r="IU14" s="17" t="s">
        <v>1011</v>
      </c>
      <c r="IV14" s="14" t="s">
        <v>1012</v>
      </c>
      <c r="IW14" s="17" t="s">
        <v>1012</v>
      </c>
      <c r="IX14" s="14" t="s">
        <v>1010</v>
      </c>
      <c r="IY14" s="17" t="s">
        <v>1013</v>
      </c>
      <c r="IZ14" s="14" t="s">
        <v>1011</v>
      </c>
      <c r="JA14" s="17" t="s">
        <v>1010</v>
      </c>
      <c r="JB14" s="14" t="s">
        <v>1011</v>
      </c>
      <c r="JC14" s="17" t="s">
        <v>1013</v>
      </c>
      <c r="JD14" s="14" t="s">
        <v>1011</v>
      </c>
      <c r="JE14" s="17" t="s">
        <v>1010</v>
      </c>
      <c r="JF14" s="14" t="s">
        <v>1013</v>
      </c>
      <c r="JG14" s="17" t="s">
        <v>1013</v>
      </c>
      <c r="JH14" s="14" t="s">
        <v>1010</v>
      </c>
      <c r="JI14" s="17" t="s">
        <v>1013</v>
      </c>
      <c r="JJ14" s="14" t="s">
        <v>1011</v>
      </c>
      <c r="JK14" s="17" t="s">
        <v>1012</v>
      </c>
      <c r="JL14" s="14" t="s">
        <v>1010</v>
      </c>
      <c r="JM14" s="17" t="s">
        <v>1011</v>
      </c>
      <c r="JN14" s="14" t="s">
        <v>1013</v>
      </c>
      <c r="JO14" s="17" t="s">
        <v>1012</v>
      </c>
      <c r="JP14" s="14" t="s">
        <v>1011</v>
      </c>
      <c r="JQ14" s="17" t="s">
        <v>1010</v>
      </c>
      <c r="JR14" s="14" t="s">
        <v>1013</v>
      </c>
      <c r="JS14" s="17" t="s">
        <v>1010</v>
      </c>
      <c r="JT14" s="14" t="s">
        <v>1011</v>
      </c>
      <c r="JU14" s="17" t="s">
        <v>1012</v>
      </c>
      <c r="JV14" s="14" t="s">
        <v>1011</v>
      </c>
      <c r="JW14" s="17" t="s">
        <v>1011</v>
      </c>
      <c r="JX14" s="14" t="s">
        <v>1013</v>
      </c>
      <c r="JY14" s="17" t="s">
        <v>1010</v>
      </c>
      <c r="JZ14" s="14" t="s">
        <v>1011</v>
      </c>
      <c r="KA14" s="17" t="s">
        <v>1011</v>
      </c>
      <c r="KB14" s="14" t="s">
        <v>1012</v>
      </c>
      <c r="KC14" s="17" t="s">
        <v>1012</v>
      </c>
      <c r="KD14" s="14" t="s">
        <v>1010</v>
      </c>
      <c r="KE14" s="17" t="s">
        <v>1010</v>
      </c>
      <c r="KF14" s="14" t="s">
        <v>1013</v>
      </c>
      <c r="KG14" s="17" t="s">
        <v>1010</v>
      </c>
      <c r="KH14" s="14" t="s">
        <v>1012</v>
      </c>
      <c r="KI14" s="17" t="s">
        <v>1010</v>
      </c>
      <c r="KJ14" s="14" t="s">
        <v>1011</v>
      </c>
      <c r="KK14" s="17" t="s">
        <v>1010</v>
      </c>
      <c r="KL14" s="14" t="s">
        <v>1010</v>
      </c>
      <c r="KM14" s="17" t="s">
        <v>1013</v>
      </c>
      <c r="KN14" s="14" t="s">
        <v>1011</v>
      </c>
      <c r="KO14" s="17" t="s">
        <v>1013</v>
      </c>
      <c r="KP14" s="14" t="s">
        <v>1012</v>
      </c>
      <c r="KQ14" s="17" t="s">
        <v>1010</v>
      </c>
      <c r="KR14" s="14" t="s">
        <v>1010</v>
      </c>
      <c r="KS14" s="17" t="s">
        <v>1012</v>
      </c>
      <c r="KT14" s="14" t="s">
        <v>1013</v>
      </c>
      <c r="KU14" s="17" t="s">
        <v>1011</v>
      </c>
      <c r="KV14" s="14" t="s">
        <v>1013</v>
      </c>
      <c r="KW14" s="17" t="s">
        <v>1013</v>
      </c>
      <c r="KX14" s="14" t="s">
        <v>1011</v>
      </c>
      <c r="KY14" s="17" t="s">
        <v>1010</v>
      </c>
      <c r="KZ14" s="14" t="s">
        <v>1013</v>
      </c>
      <c r="LA14" s="17" t="s">
        <v>1012</v>
      </c>
      <c r="LB14" s="14" t="s">
        <v>1011</v>
      </c>
      <c r="LC14" s="17" t="s">
        <v>1010</v>
      </c>
      <c r="LD14" s="14" t="s">
        <v>1011</v>
      </c>
      <c r="LE14" s="17" t="s">
        <v>1012</v>
      </c>
      <c r="LF14" s="14" t="s">
        <v>1011</v>
      </c>
      <c r="LG14" s="17" t="s">
        <v>1011</v>
      </c>
      <c r="LH14" s="14" t="s">
        <v>1013</v>
      </c>
      <c r="LI14" s="17" t="s">
        <v>1012</v>
      </c>
      <c r="LJ14" s="14" t="s">
        <v>1012</v>
      </c>
      <c r="LK14" s="17" t="s">
        <v>1012</v>
      </c>
      <c r="LL14" s="14" t="s">
        <v>1011</v>
      </c>
      <c r="LM14" s="17" t="s">
        <v>1012</v>
      </c>
      <c r="LN14" s="14" t="s">
        <v>1012</v>
      </c>
      <c r="LO14" s="17" t="s">
        <v>1012</v>
      </c>
      <c r="LP14" s="14" t="s">
        <v>1013</v>
      </c>
      <c r="LQ14" s="17" t="s">
        <v>1012</v>
      </c>
      <c r="LR14" s="14" t="s">
        <v>1011</v>
      </c>
      <c r="LS14" s="17" t="s">
        <v>1013</v>
      </c>
      <c r="LT14" s="14" t="s">
        <v>1012</v>
      </c>
      <c r="LU14" s="17" t="s">
        <v>1012</v>
      </c>
      <c r="LV14" s="14" t="s">
        <v>1013</v>
      </c>
      <c r="LW14" s="17" t="s">
        <v>1012</v>
      </c>
      <c r="LX14" s="14" t="s">
        <v>1011</v>
      </c>
      <c r="LY14" s="17" t="s">
        <v>1011</v>
      </c>
      <c r="LZ14" s="14" t="s">
        <v>1012</v>
      </c>
      <c r="MA14" s="17" t="s">
        <v>1011</v>
      </c>
      <c r="MB14" s="14" t="s">
        <v>1013</v>
      </c>
      <c r="MC14" s="17" t="s">
        <v>1012</v>
      </c>
      <c r="MD14" s="14" t="s">
        <v>1013</v>
      </c>
      <c r="ME14" s="17" t="s">
        <v>1011</v>
      </c>
      <c r="MF14" s="14" t="s">
        <v>1012</v>
      </c>
      <c r="MG14" s="17" t="s">
        <v>1013</v>
      </c>
      <c r="MH14" s="14" t="s">
        <v>1011</v>
      </c>
      <c r="MI14" s="17" t="s">
        <v>1012</v>
      </c>
      <c r="MJ14" s="14" t="s">
        <v>1010</v>
      </c>
      <c r="MK14" s="17" t="s">
        <v>1011</v>
      </c>
      <c r="ML14" s="14" t="s">
        <v>1011</v>
      </c>
      <c r="MM14" s="17" t="s">
        <v>1010</v>
      </c>
      <c r="MN14" s="14" t="s">
        <v>1010</v>
      </c>
      <c r="MO14" s="17" t="s">
        <v>1013</v>
      </c>
      <c r="MP14" s="14" t="s">
        <v>1011</v>
      </c>
      <c r="MQ14" s="17" t="s">
        <v>1010</v>
      </c>
      <c r="MR14" s="14" t="s">
        <v>1012</v>
      </c>
      <c r="MS14" s="17" t="s">
        <v>1011</v>
      </c>
      <c r="MT14" s="14" t="s">
        <v>1013</v>
      </c>
      <c r="MU14" s="17" t="s">
        <v>1010</v>
      </c>
      <c r="MV14" s="14" t="s">
        <v>1011</v>
      </c>
      <c r="MW14" s="17" t="s">
        <v>1011</v>
      </c>
      <c r="MX14" s="14" t="s">
        <v>1010</v>
      </c>
      <c r="MY14" s="17" t="s">
        <v>1010</v>
      </c>
      <c r="MZ14" s="14" t="s">
        <v>1010</v>
      </c>
      <c r="NA14" s="17" t="s">
        <v>1011</v>
      </c>
      <c r="NB14" s="14" t="s">
        <v>1010</v>
      </c>
      <c r="NC14" s="17" t="s">
        <v>1010</v>
      </c>
      <c r="ND14" s="14" t="s">
        <v>1011</v>
      </c>
      <c r="NE14" s="17" t="s">
        <v>1011</v>
      </c>
      <c r="NF14" s="14" t="s">
        <v>1013</v>
      </c>
      <c r="NG14" s="17" t="s">
        <v>1012</v>
      </c>
      <c r="NH14" s="14" t="s">
        <v>1011</v>
      </c>
      <c r="NI14" s="17" t="s">
        <v>1012</v>
      </c>
      <c r="NJ14" s="14" t="s">
        <v>1013</v>
      </c>
      <c r="NK14" s="17" t="s">
        <v>1013</v>
      </c>
      <c r="NL14" s="14" t="s">
        <v>1010</v>
      </c>
      <c r="NM14" s="17" t="s">
        <v>1013</v>
      </c>
      <c r="NN14" s="14" t="s">
        <v>1010</v>
      </c>
      <c r="NO14" s="17" t="s">
        <v>1010</v>
      </c>
      <c r="NP14" s="14" t="s">
        <v>1011</v>
      </c>
      <c r="NQ14" s="17" t="s">
        <v>1011</v>
      </c>
      <c r="NR14" s="14" t="s">
        <v>1012</v>
      </c>
      <c r="NS14" s="17" t="s">
        <v>1010</v>
      </c>
      <c r="NT14" s="14" t="s">
        <v>1010</v>
      </c>
      <c r="NU14" s="17" t="s">
        <v>1012</v>
      </c>
      <c r="NV14" s="14" t="s">
        <v>1010</v>
      </c>
      <c r="NW14" s="17" t="s">
        <v>1013</v>
      </c>
      <c r="NX14" s="14" t="s">
        <v>1010</v>
      </c>
      <c r="NY14" s="17" t="s">
        <v>1010</v>
      </c>
      <c r="NZ14" s="14" t="s">
        <v>1010</v>
      </c>
      <c r="OA14" s="17" t="s">
        <v>1011</v>
      </c>
      <c r="OB14" s="14" t="s">
        <v>1013</v>
      </c>
      <c r="OC14" s="17" t="s">
        <v>1010</v>
      </c>
      <c r="OD14" s="14" t="s">
        <v>1013</v>
      </c>
      <c r="OE14" s="17" t="s">
        <v>1013</v>
      </c>
      <c r="OF14" s="14" t="s">
        <v>1013</v>
      </c>
      <c r="OG14" s="17" t="s">
        <v>1012</v>
      </c>
      <c r="OH14" s="14" t="s">
        <v>1010</v>
      </c>
      <c r="OI14" s="17" t="s">
        <v>1011</v>
      </c>
      <c r="OJ14" s="14" t="s">
        <v>1011</v>
      </c>
      <c r="OK14" s="17" t="s">
        <v>1011</v>
      </c>
      <c r="OL14" s="14" t="s">
        <v>1011</v>
      </c>
      <c r="OM14" s="17" t="s">
        <v>1010</v>
      </c>
      <c r="ON14" s="14" t="s">
        <v>1011</v>
      </c>
      <c r="OO14" s="17" t="s">
        <v>1013</v>
      </c>
      <c r="OP14" s="14" t="s">
        <v>1012</v>
      </c>
      <c r="OQ14" s="17" t="s">
        <v>1011</v>
      </c>
      <c r="OR14" s="14" t="s">
        <v>1013</v>
      </c>
      <c r="OS14" s="17" t="s">
        <v>1011</v>
      </c>
      <c r="OT14" s="14" t="s">
        <v>1010</v>
      </c>
      <c r="OU14" s="17" t="s">
        <v>1013</v>
      </c>
      <c r="OV14" s="14" t="s">
        <v>1010</v>
      </c>
      <c r="OW14" s="17" t="s">
        <v>1011</v>
      </c>
      <c r="OX14" s="14" t="s">
        <v>1013</v>
      </c>
      <c r="OY14" s="17" t="s">
        <v>1013</v>
      </c>
      <c r="OZ14" s="14" t="s">
        <v>1013</v>
      </c>
      <c r="PA14" s="17" t="s">
        <v>1011</v>
      </c>
      <c r="PB14" s="14" t="s">
        <v>1012</v>
      </c>
      <c r="PC14" s="17" t="s">
        <v>1012</v>
      </c>
      <c r="PD14" s="14" t="s">
        <v>1010</v>
      </c>
      <c r="PE14" s="17" t="s">
        <v>1012</v>
      </c>
      <c r="PF14" s="14" t="s">
        <v>1011</v>
      </c>
      <c r="PG14" s="17" t="s">
        <v>1013</v>
      </c>
      <c r="PH14" s="14" t="s">
        <v>1013</v>
      </c>
      <c r="PI14" s="17" t="s">
        <v>1011</v>
      </c>
      <c r="PJ14" s="14" t="s">
        <v>1013</v>
      </c>
      <c r="PK14" s="17" t="s">
        <v>1012</v>
      </c>
      <c r="PL14" s="14" t="s">
        <v>1010</v>
      </c>
      <c r="PM14" s="17" t="s">
        <v>1011</v>
      </c>
      <c r="PN14" s="14" t="s">
        <v>1013</v>
      </c>
      <c r="PO14" s="17" t="s">
        <v>1011</v>
      </c>
      <c r="PP14" s="14" t="s">
        <v>1012</v>
      </c>
      <c r="PQ14" s="17" t="s">
        <v>1013</v>
      </c>
      <c r="PR14" s="14" t="s">
        <v>1013</v>
      </c>
      <c r="PS14" s="17" t="s">
        <v>1013</v>
      </c>
      <c r="PT14" s="14" t="s">
        <v>1013</v>
      </c>
      <c r="PU14" s="17" t="s">
        <v>1011</v>
      </c>
      <c r="PV14" s="14" t="s">
        <v>1012</v>
      </c>
      <c r="PW14" s="17" t="s">
        <v>1012</v>
      </c>
      <c r="PX14" s="14" t="s">
        <v>1010</v>
      </c>
      <c r="PY14" s="17" t="s">
        <v>1011</v>
      </c>
      <c r="PZ14" s="14" t="s">
        <v>1012</v>
      </c>
      <c r="QA14" s="17" t="s">
        <v>1011</v>
      </c>
      <c r="QB14" s="14" t="s">
        <v>1011</v>
      </c>
      <c r="QC14" s="17" t="s">
        <v>1012</v>
      </c>
      <c r="QD14" s="14" t="s">
        <v>1010</v>
      </c>
      <c r="QE14" s="17" t="s">
        <v>1010</v>
      </c>
      <c r="QF14" s="14" t="s">
        <v>1010</v>
      </c>
      <c r="QG14" s="17" t="s">
        <v>1013</v>
      </c>
      <c r="QH14" s="14" t="s">
        <v>1012</v>
      </c>
      <c r="QI14" s="17" t="s">
        <v>1013</v>
      </c>
      <c r="QJ14" s="14" t="s">
        <v>1013</v>
      </c>
      <c r="QK14" s="17" t="s">
        <v>1013</v>
      </c>
      <c r="QL14" s="14" t="s">
        <v>1011</v>
      </c>
      <c r="QM14" s="17" t="s">
        <v>1011</v>
      </c>
      <c r="QN14" s="14" t="s">
        <v>1012</v>
      </c>
      <c r="QO14" s="17" t="s">
        <v>1012</v>
      </c>
      <c r="QP14" s="14" t="s">
        <v>1011</v>
      </c>
      <c r="QQ14" s="17" t="s">
        <v>1011</v>
      </c>
      <c r="QR14" s="14" t="s">
        <v>1013</v>
      </c>
      <c r="QS14" s="17" t="s">
        <v>1010</v>
      </c>
      <c r="QT14" s="14" t="s">
        <v>1010</v>
      </c>
      <c r="QU14" s="17" t="s">
        <v>1010</v>
      </c>
      <c r="QV14" s="14" t="s">
        <v>1010</v>
      </c>
      <c r="QW14" s="17" t="s">
        <v>1010</v>
      </c>
      <c r="QX14" s="14" t="s">
        <v>1013</v>
      </c>
      <c r="QY14" s="17" t="s">
        <v>1012</v>
      </c>
      <c r="QZ14" s="14" t="s">
        <v>1011</v>
      </c>
      <c r="RA14" s="17" t="s">
        <v>1013</v>
      </c>
      <c r="RB14" s="14" t="s">
        <v>1010</v>
      </c>
      <c r="RC14" s="17" t="s">
        <v>1011</v>
      </c>
      <c r="RD14" s="14" t="s">
        <v>1013</v>
      </c>
      <c r="RE14" s="17" t="s">
        <v>1010</v>
      </c>
      <c r="RF14" s="14" t="s">
        <v>1013</v>
      </c>
      <c r="RG14" s="17" t="s">
        <v>1011</v>
      </c>
      <c r="RH14" s="14" t="s">
        <v>1012</v>
      </c>
      <c r="RI14" s="17" t="s">
        <v>1010</v>
      </c>
      <c r="RJ14" s="14" t="s">
        <v>1011</v>
      </c>
      <c r="RK14" s="17" t="s">
        <v>1011</v>
      </c>
      <c r="RL14" s="14" t="s">
        <v>1012</v>
      </c>
      <c r="RM14" s="17" t="s">
        <v>1013</v>
      </c>
      <c r="RN14" s="14" t="s">
        <v>1012</v>
      </c>
      <c r="RO14" s="17" t="s">
        <v>1012</v>
      </c>
      <c r="RP14" s="14" t="s">
        <v>1013</v>
      </c>
      <c r="RQ14" s="17" t="s">
        <v>1013</v>
      </c>
      <c r="RR14" s="14" t="s">
        <v>1013</v>
      </c>
      <c r="RS14" s="17" t="s">
        <v>1011</v>
      </c>
      <c r="RT14" s="14" t="s">
        <v>1011</v>
      </c>
      <c r="RU14" s="17" t="s">
        <v>1010</v>
      </c>
      <c r="RV14" s="14" t="s">
        <v>1010</v>
      </c>
      <c r="RW14" s="17" t="s">
        <v>1012</v>
      </c>
      <c r="RX14" s="14" t="s">
        <v>1012</v>
      </c>
      <c r="RY14" s="17" t="s">
        <v>1010</v>
      </c>
      <c r="RZ14" s="14" t="s">
        <v>1012</v>
      </c>
      <c r="SA14" s="17" t="s">
        <v>1013</v>
      </c>
      <c r="SB14" s="14" t="s">
        <v>1011</v>
      </c>
      <c r="SC14" s="17" t="s">
        <v>1010</v>
      </c>
      <c r="SD14" s="14" t="s">
        <v>1011</v>
      </c>
      <c r="SE14" s="17" t="s">
        <v>1010</v>
      </c>
      <c r="SF14" s="14" t="s">
        <v>1011</v>
      </c>
      <c r="SG14" s="17" t="s">
        <v>1010</v>
      </c>
      <c r="SH14" s="14" t="s">
        <v>1011</v>
      </c>
      <c r="SI14" s="17" t="s">
        <v>1013</v>
      </c>
      <c r="SJ14" s="14" t="s">
        <v>1010</v>
      </c>
      <c r="SK14" s="17" t="s">
        <v>1010</v>
      </c>
      <c r="SL14" s="14" t="s">
        <v>1010</v>
      </c>
      <c r="SM14" s="17" t="s">
        <v>1013</v>
      </c>
      <c r="SN14" s="14" t="s">
        <v>1011</v>
      </c>
      <c r="SO14" s="17" t="s">
        <v>1010</v>
      </c>
      <c r="SP14" s="14" t="s">
        <v>1011</v>
      </c>
      <c r="SQ14" s="17" t="s">
        <v>1013</v>
      </c>
      <c r="SR14" s="14" t="s">
        <v>1012</v>
      </c>
      <c r="SS14" s="17" t="s">
        <v>1010</v>
      </c>
      <c r="ST14" s="14" t="s">
        <v>1013</v>
      </c>
      <c r="SU14" s="17" t="s">
        <v>1011</v>
      </c>
      <c r="SV14" s="14" t="s">
        <v>1010</v>
      </c>
      <c r="SW14" s="17" t="s">
        <v>1011</v>
      </c>
      <c r="SX14" s="14" t="s">
        <v>1012</v>
      </c>
      <c r="SY14" s="17" t="s">
        <v>1010</v>
      </c>
      <c r="SZ14" s="14" t="s">
        <v>1010</v>
      </c>
      <c r="TA14" s="17" t="s">
        <v>1011</v>
      </c>
      <c r="TB14" s="14" t="s">
        <v>1010</v>
      </c>
      <c r="TC14" s="17" t="s">
        <v>1013</v>
      </c>
      <c r="TD14" s="14" t="s">
        <v>1013</v>
      </c>
      <c r="TE14" s="17" t="s">
        <v>1012</v>
      </c>
      <c r="TF14" s="14" t="s">
        <v>1013</v>
      </c>
      <c r="TG14" s="17" t="s">
        <v>1012</v>
      </c>
      <c r="TH14" s="14" t="s">
        <v>1011</v>
      </c>
      <c r="TI14" s="17" t="s">
        <v>1011</v>
      </c>
      <c r="TJ14" s="14" t="s">
        <v>1012</v>
      </c>
      <c r="TK14" s="17" t="s">
        <v>1013</v>
      </c>
      <c r="TL14" s="14" t="s">
        <v>1013</v>
      </c>
      <c r="TM14" s="17" t="s">
        <v>1012</v>
      </c>
      <c r="TN14" s="14" t="s">
        <v>1012</v>
      </c>
      <c r="TO14" s="17" t="s">
        <v>1011</v>
      </c>
      <c r="TP14" s="14" t="s">
        <v>1012</v>
      </c>
      <c r="TQ14" s="17" t="s">
        <v>1013</v>
      </c>
      <c r="TR14" s="14" t="s">
        <v>1012</v>
      </c>
      <c r="TS14" s="17" t="s">
        <v>1012</v>
      </c>
      <c r="TT14" s="14" t="s">
        <v>1012</v>
      </c>
      <c r="TU14" s="17" t="s">
        <v>1011</v>
      </c>
      <c r="TV14" s="14" t="s">
        <v>1012</v>
      </c>
      <c r="TW14" s="17" t="s">
        <v>1010</v>
      </c>
      <c r="TX14" s="14" t="s">
        <v>1010</v>
      </c>
      <c r="TY14" s="17" t="s">
        <v>1010</v>
      </c>
      <c r="TZ14" s="14" t="s">
        <v>1013</v>
      </c>
      <c r="UA14" s="17" t="s">
        <v>1013</v>
      </c>
      <c r="UB14" s="14" t="s">
        <v>1012</v>
      </c>
      <c r="UC14" s="17" t="s">
        <v>1010</v>
      </c>
      <c r="UD14" s="14" t="s">
        <v>1011</v>
      </c>
      <c r="UE14" s="17" t="s">
        <v>1010</v>
      </c>
      <c r="UF14" s="14" t="s">
        <v>1010</v>
      </c>
      <c r="UG14" s="17" t="s">
        <v>1013</v>
      </c>
      <c r="UH14" s="14" t="s">
        <v>1013</v>
      </c>
      <c r="UI14" s="17" t="s">
        <v>1011</v>
      </c>
      <c r="UJ14" s="14" t="s">
        <v>1013</v>
      </c>
      <c r="UK14" s="17" t="s">
        <v>1011</v>
      </c>
      <c r="UL14" s="14" t="s">
        <v>1013</v>
      </c>
      <c r="UM14" s="17" t="s">
        <v>1010</v>
      </c>
      <c r="UN14" s="14" t="s">
        <v>1010</v>
      </c>
      <c r="UO14" s="17" t="s">
        <v>1011</v>
      </c>
      <c r="UP14" s="14" t="s">
        <v>1011</v>
      </c>
      <c r="UQ14" s="17" t="s">
        <v>1013</v>
      </c>
      <c r="UR14" s="14" t="s">
        <v>1013</v>
      </c>
      <c r="US14" s="17" t="s">
        <v>1011</v>
      </c>
      <c r="UT14" s="14" t="s">
        <v>1011</v>
      </c>
      <c r="UU14" s="17" t="s">
        <v>1010</v>
      </c>
      <c r="UV14" s="14" t="s">
        <v>1010</v>
      </c>
      <c r="UW14" s="17" t="s">
        <v>1011</v>
      </c>
      <c r="UX14" s="14" t="s">
        <v>1010</v>
      </c>
      <c r="UY14" s="17" t="s">
        <v>1012</v>
      </c>
      <c r="UZ14" s="14" t="s">
        <v>1013</v>
      </c>
      <c r="VA14" s="17" t="s">
        <v>1010</v>
      </c>
      <c r="VB14" s="14" t="s">
        <v>1012</v>
      </c>
      <c r="VC14" s="17" t="s">
        <v>1011</v>
      </c>
      <c r="VD14" s="14" t="s">
        <v>1010</v>
      </c>
      <c r="VE14" s="17" t="s">
        <v>1011</v>
      </c>
      <c r="VF14" s="14" t="s">
        <v>1013</v>
      </c>
      <c r="VG14" s="17" t="s">
        <v>1011</v>
      </c>
      <c r="VH14" s="14" t="s">
        <v>1012</v>
      </c>
      <c r="VI14" s="17" t="s">
        <v>1011</v>
      </c>
      <c r="VJ14" s="14" t="s">
        <v>1012</v>
      </c>
      <c r="VK14" s="17" t="s">
        <v>1010</v>
      </c>
      <c r="VL14" s="14" t="s">
        <v>1010</v>
      </c>
      <c r="VM14" s="17" t="s">
        <v>1012</v>
      </c>
      <c r="VN14" s="14" t="s">
        <v>1013</v>
      </c>
      <c r="VO14" s="17" t="s">
        <v>1013</v>
      </c>
      <c r="VP14" s="14" t="s">
        <v>1013</v>
      </c>
      <c r="VQ14" s="17" t="s">
        <v>1010</v>
      </c>
      <c r="VR14" s="14" t="s">
        <v>1010</v>
      </c>
      <c r="VS14" s="17" t="s">
        <v>1013</v>
      </c>
      <c r="VT14" s="14" t="s">
        <v>1011</v>
      </c>
      <c r="VU14" s="17" t="s">
        <v>1013</v>
      </c>
      <c r="VV14" s="14" t="s">
        <v>1011</v>
      </c>
      <c r="VW14" s="17" t="s">
        <v>1013</v>
      </c>
      <c r="VX14" s="14" t="s">
        <v>1011</v>
      </c>
      <c r="VY14" s="17" t="s">
        <v>1010</v>
      </c>
      <c r="VZ14" s="14" t="s">
        <v>1013</v>
      </c>
      <c r="WA14" s="17" t="s">
        <v>1013</v>
      </c>
      <c r="WB14" s="14" t="s">
        <v>1012</v>
      </c>
      <c r="WC14" s="17" t="s">
        <v>1013</v>
      </c>
      <c r="WD14" s="14" t="s">
        <v>1011</v>
      </c>
      <c r="WE14" s="17" t="s">
        <v>1012</v>
      </c>
      <c r="WF14" s="14" t="s">
        <v>1013</v>
      </c>
      <c r="WG14" s="17" t="s">
        <v>1013</v>
      </c>
      <c r="WH14" s="14" t="s">
        <v>1010</v>
      </c>
      <c r="WI14" s="17" t="s">
        <v>1012</v>
      </c>
      <c r="WJ14" s="14" t="s">
        <v>1011</v>
      </c>
      <c r="WK14" s="17" t="s">
        <v>1013</v>
      </c>
      <c r="WL14" s="14" t="s">
        <v>1010</v>
      </c>
      <c r="WM14" s="17" t="s">
        <v>1013</v>
      </c>
      <c r="WN14" s="14" t="s">
        <v>1012</v>
      </c>
      <c r="WO14" s="17" t="s">
        <v>1011</v>
      </c>
      <c r="WP14" s="14" t="s">
        <v>1010</v>
      </c>
      <c r="WQ14" s="17" t="s">
        <v>1013</v>
      </c>
      <c r="WR14" s="14" t="s">
        <v>1011</v>
      </c>
      <c r="WS14" s="17" t="s">
        <v>1013</v>
      </c>
      <c r="WT14" s="14" t="s">
        <v>1013</v>
      </c>
      <c r="WU14" s="17" t="s">
        <v>1012</v>
      </c>
      <c r="WV14" s="14" t="s">
        <v>1012</v>
      </c>
      <c r="WW14" s="17" t="s">
        <v>1013</v>
      </c>
      <c r="WX14" s="14" t="s">
        <v>1010</v>
      </c>
      <c r="WY14" s="17" t="s">
        <v>1012</v>
      </c>
      <c r="WZ14" s="14" t="s">
        <v>1012</v>
      </c>
      <c r="XA14" s="17" t="s">
        <v>1012</v>
      </c>
      <c r="XB14" s="14" t="s">
        <v>1012</v>
      </c>
      <c r="XC14" s="17" t="s">
        <v>1011</v>
      </c>
      <c r="XD14" s="14" t="s">
        <v>1013</v>
      </c>
      <c r="XE14" s="17" t="s">
        <v>1011</v>
      </c>
      <c r="XF14" s="14" t="s">
        <v>1011</v>
      </c>
      <c r="XG14" s="17" t="s">
        <v>1013</v>
      </c>
      <c r="XH14" s="14" t="s">
        <v>1012</v>
      </c>
      <c r="XI14" s="17" t="s">
        <v>1010</v>
      </c>
      <c r="XJ14" s="14" t="s">
        <v>1012</v>
      </c>
      <c r="XK14" s="17" t="s">
        <v>1012</v>
      </c>
      <c r="XL14" s="14" t="s">
        <v>1012</v>
      </c>
      <c r="XM14" s="17" t="s">
        <v>1012</v>
      </c>
      <c r="XN14" s="14" t="s">
        <v>1010</v>
      </c>
      <c r="XO14" s="17" t="s">
        <v>1011</v>
      </c>
      <c r="XP14" s="14" t="s">
        <v>1010</v>
      </c>
      <c r="XQ14" s="17" t="s">
        <v>1013</v>
      </c>
      <c r="XR14" s="14" t="s">
        <v>1012</v>
      </c>
      <c r="XS14" s="17" t="s">
        <v>1010</v>
      </c>
      <c r="XT14" s="14" t="s">
        <v>1013</v>
      </c>
      <c r="XU14" s="17" t="s">
        <v>1010</v>
      </c>
      <c r="XV14" s="14" t="s">
        <v>1012</v>
      </c>
      <c r="XW14" s="17" t="s">
        <v>1012</v>
      </c>
      <c r="XX14" s="14" t="s">
        <v>1013</v>
      </c>
      <c r="XY14" s="17" t="s">
        <v>1010</v>
      </c>
      <c r="XZ14" s="14" t="s">
        <v>1012</v>
      </c>
      <c r="YA14" s="17" t="s">
        <v>1013</v>
      </c>
      <c r="YB14" s="14" t="s">
        <v>1010</v>
      </c>
      <c r="YC14" s="17" t="s">
        <v>1010</v>
      </c>
      <c r="YD14" s="14" t="s">
        <v>1013</v>
      </c>
      <c r="YE14" s="17" t="s">
        <v>1010</v>
      </c>
      <c r="YF14" s="14" t="s">
        <v>1010</v>
      </c>
      <c r="YG14" s="17" t="s">
        <v>1012</v>
      </c>
      <c r="YH14" s="14" t="s">
        <v>1012</v>
      </c>
      <c r="YI14" s="17" t="s">
        <v>1012</v>
      </c>
      <c r="YJ14" s="14" t="s">
        <v>1013</v>
      </c>
      <c r="YK14" s="17" t="s">
        <v>1011</v>
      </c>
      <c r="YL14" s="14" t="s">
        <v>1010</v>
      </c>
      <c r="YM14" s="17" t="s">
        <v>1013</v>
      </c>
      <c r="YN14" s="14" t="s">
        <v>1011</v>
      </c>
      <c r="YO14" s="17" t="s">
        <v>1011</v>
      </c>
      <c r="YP14" s="14" t="s">
        <v>1013</v>
      </c>
      <c r="YQ14" s="17" t="s">
        <v>1011</v>
      </c>
      <c r="YR14" s="14" t="s">
        <v>1012</v>
      </c>
      <c r="YS14" s="17" t="s">
        <v>1013</v>
      </c>
      <c r="YT14" s="14" t="s">
        <v>1010</v>
      </c>
      <c r="YU14" s="17" t="s">
        <v>1012</v>
      </c>
      <c r="YV14" s="14" t="s">
        <v>1010</v>
      </c>
      <c r="YW14" s="17" t="s">
        <v>1011</v>
      </c>
      <c r="YX14" s="14" t="s">
        <v>1012</v>
      </c>
      <c r="YY14" s="17" t="s">
        <v>1010</v>
      </c>
      <c r="YZ14" s="14" t="s">
        <v>1013</v>
      </c>
      <c r="ZA14" s="17" t="s">
        <v>1011</v>
      </c>
      <c r="ZB14" s="14" t="s">
        <v>1010</v>
      </c>
      <c r="ZC14" s="17" t="s">
        <v>1011</v>
      </c>
      <c r="ZD14" s="14" t="s">
        <v>1010</v>
      </c>
      <c r="ZE14" s="17" t="s">
        <v>1013</v>
      </c>
      <c r="ZF14" s="14" t="s">
        <v>1012</v>
      </c>
      <c r="ZG14" s="17" t="s">
        <v>1010</v>
      </c>
      <c r="ZH14" s="14" t="s">
        <v>1011</v>
      </c>
      <c r="ZI14" s="17" t="s">
        <v>1013</v>
      </c>
      <c r="ZJ14" s="14" t="s">
        <v>1012</v>
      </c>
      <c r="ZK14" s="17" t="s">
        <v>1011</v>
      </c>
      <c r="ZL14" s="14" t="s">
        <v>1013</v>
      </c>
      <c r="ZM14" s="17" t="s">
        <v>1011</v>
      </c>
      <c r="ZN14" s="14" t="s">
        <v>1013</v>
      </c>
      <c r="ZO14" s="17" t="s">
        <v>1012</v>
      </c>
      <c r="ZP14" s="14" t="s">
        <v>1012</v>
      </c>
      <c r="ZQ14" s="17" t="s">
        <v>1011</v>
      </c>
      <c r="ZR14" s="14" t="s">
        <v>1013</v>
      </c>
      <c r="ZS14" s="17" t="s">
        <v>1010</v>
      </c>
      <c r="ZT14" s="14" t="s">
        <v>1012</v>
      </c>
      <c r="ZU14" s="17" t="s">
        <v>1010</v>
      </c>
      <c r="ZV14" s="14" t="s">
        <v>1010</v>
      </c>
      <c r="ZW14" s="17" t="s">
        <v>1011</v>
      </c>
      <c r="ZX14" s="14" t="s">
        <v>1011</v>
      </c>
      <c r="ZY14" s="17" t="s">
        <v>1011</v>
      </c>
      <c r="ZZ14" s="14" t="s">
        <v>1013</v>
      </c>
      <c r="AAA14" s="17" t="s">
        <v>1012</v>
      </c>
      <c r="AAB14" s="14" t="s">
        <v>1012</v>
      </c>
      <c r="AAC14" s="17" t="s">
        <v>1010</v>
      </c>
      <c r="AAD14" s="14" t="s">
        <v>1011</v>
      </c>
      <c r="AAE14" s="17" t="s">
        <v>1013</v>
      </c>
      <c r="AAF14" s="14" t="s">
        <v>1012</v>
      </c>
      <c r="AAG14" s="17" t="s">
        <v>1013</v>
      </c>
      <c r="AAH14" s="14" t="s">
        <v>1011</v>
      </c>
      <c r="AAI14" s="17" t="s">
        <v>1011</v>
      </c>
      <c r="AAJ14" s="14" t="s">
        <v>1012</v>
      </c>
      <c r="AAK14" s="17" t="s">
        <v>1010</v>
      </c>
      <c r="AAL14" s="14" t="s">
        <v>1010</v>
      </c>
      <c r="AAM14" s="17" t="s">
        <v>1011</v>
      </c>
      <c r="AAN14" s="14" t="s">
        <v>1011</v>
      </c>
      <c r="AAO14" s="17" t="s">
        <v>1010</v>
      </c>
      <c r="AAP14" s="14" t="s">
        <v>1011</v>
      </c>
      <c r="AAQ14" s="17" t="s">
        <v>1012</v>
      </c>
      <c r="AAR14" s="14" t="s">
        <v>1012</v>
      </c>
      <c r="AAS14" s="17" t="s">
        <v>1013</v>
      </c>
      <c r="AAT14" s="14" t="s">
        <v>1010</v>
      </c>
      <c r="AAU14" s="17" t="s">
        <v>1011</v>
      </c>
      <c r="AAV14" s="14" t="s">
        <v>1013</v>
      </c>
      <c r="AAW14" s="17" t="s">
        <v>1012</v>
      </c>
      <c r="AAX14" s="14" t="s">
        <v>1010</v>
      </c>
      <c r="AAY14" s="17" t="s">
        <v>1012</v>
      </c>
      <c r="AAZ14" s="14" t="s">
        <v>1011</v>
      </c>
      <c r="ABA14" s="17" t="s">
        <v>1013</v>
      </c>
      <c r="ABB14" s="14" t="s">
        <v>1011</v>
      </c>
      <c r="ABC14" s="17" t="s">
        <v>1011</v>
      </c>
      <c r="ABD14" s="14" t="s">
        <v>1010</v>
      </c>
      <c r="ABE14" s="17" t="s">
        <v>1010</v>
      </c>
      <c r="ABF14" s="14" t="s">
        <v>1011</v>
      </c>
      <c r="ABG14" s="17" t="s">
        <v>1010</v>
      </c>
      <c r="ABH14" s="14" t="s">
        <v>1013</v>
      </c>
      <c r="ABI14" s="17" t="s">
        <v>1013</v>
      </c>
      <c r="ABJ14" s="14" t="s">
        <v>1011</v>
      </c>
      <c r="ABK14" s="17" t="s">
        <v>1013</v>
      </c>
      <c r="ABL14" s="14" t="s">
        <v>1011</v>
      </c>
      <c r="ABM14" s="17" t="s">
        <v>1013</v>
      </c>
      <c r="ABN14" s="14" t="s">
        <v>1012</v>
      </c>
      <c r="ABO14" s="17" t="s">
        <v>1011</v>
      </c>
      <c r="ABP14" s="14" t="s">
        <v>1013</v>
      </c>
      <c r="ABQ14" s="17" t="s">
        <v>1012</v>
      </c>
      <c r="ABR14" s="14" t="s">
        <v>1011</v>
      </c>
      <c r="ABS14" s="17" t="s">
        <v>1013</v>
      </c>
      <c r="ABT14" s="14" t="s">
        <v>1013</v>
      </c>
      <c r="ABU14" s="17" t="s">
        <v>1012</v>
      </c>
      <c r="ABV14" s="14" t="s">
        <v>1010</v>
      </c>
      <c r="ABW14" s="17" t="s">
        <v>1010</v>
      </c>
      <c r="ABX14" s="14" t="s">
        <v>1012</v>
      </c>
      <c r="ABY14" s="17" t="s">
        <v>1012</v>
      </c>
      <c r="ABZ14" s="14" t="s">
        <v>1011</v>
      </c>
      <c r="ACA14" s="17" t="s">
        <v>1010</v>
      </c>
      <c r="ACB14" s="14" t="s">
        <v>1011</v>
      </c>
      <c r="ACC14" s="17" t="s">
        <v>1013</v>
      </c>
      <c r="ACD14" s="14" t="s">
        <v>1012</v>
      </c>
      <c r="ACE14" s="17" t="s">
        <v>1011</v>
      </c>
      <c r="ACF14" s="14" t="s">
        <v>1012</v>
      </c>
      <c r="ACG14" s="17" t="s">
        <v>1011</v>
      </c>
      <c r="ACH14" s="14" t="s">
        <v>1013</v>
      </c>
      <c r="ACI14" s="17" t="s">
        <v>1013</v>
      </c>
      <c r="ACJ14" s="14" t="s">
        <v>1010</v>
      </c>
      <c r="ACK14" s="17" t="s">
        <v>1010</v>
      </c>
      <c r="ACL14" s="14" t="s">
        <v>1013</v>
      </c>
      <c r="ACM14" s="17" t="s">
        <v>1011</v>
      </c>
      <c r="ACN14" s="14" t="s">
        <v>1012</v>
      </c>
      <c r="ACO14" s="17" t="s">
        <v>1013</v>
      </c>
      <c r="ACP14" s="14" t="s">
        <v>1013</v>
      </c>
      <c r="ACQ14" s="17" t="s">
        <v>1011</v>
      </c>
      <c r="ACR14" s="14" t="s">
        <v>1013</v>
      </c>
      <c r="ACS14" s="17" t="s">
        <v>1013</v>
      </c>
      <c r="ACT14" s="14" t="s">
        <v>1011</v>
      </c>
      <c r="ACU14" s="17" t="s">
        <v>1013</v>
      </c>
      <c r="ACV14" s="14" t="s">
        <v>1010</v>
      </c>
      <c r="ACW14" s="17" t="s">
        <v>1010</v>
      </c>
      <c r="ACX14" s="14" t="s">
        <v>1010</v>
      </c>
      <c r="ACY14" s="17" t="s">
        <v>1010</v>
      </c>
      <c r="ACZ14" s="14" t="s">
        <v>1013</v>
      </c>
      <c r="ADA14" s="17" t="s">
        <v>1012</v>
      </c>
      <c r="ADB14" s="14" t="s">
        <v>1010</v>
      </c>
      <c r="ADC14" s="17" t="s">
        <v>1010</v>
      </c>
      <c r="ADD14" s="14" t="s">
        <v>1013</v>
      </c>
      <c r="ADE14" s="17" t="s">
        <v>1013</v>
      </c>
      <c r="ADF14" s="14" t="s">
        <v>1011</v>
      </c>
      <c r="ADG14" s="17" t="s">
        <v>1010</v>
      </c>
      <c r="ADH14" s="14" t="s">
        <v>1011</v>
      </c>
      <c r="ADI14" s="17" t="s">
        <v>1010</v>
      </c>
      <c r="ADJ14" s="14" t="s">
        <v>1012</v>
      </c>
      <c r="ADK14" s="17" t="s">
        <v>1013</v>
      </c>
      <c r="ADL14" s="14" t="s">
        <v>1013</v>
      </c>
      <c r="ADM14" s="17" t="s">
        <v>1011</v>
      </c>
      <c r="ADN14" s="14" t="s">
        <v>1011</v>
      </c>
      <c r="ADO14" s="17" t="s">
        <v>1013</v>
      </c>
      <c r="ADP14" s="14" t="s">
        <v>1013</v>
      </c>
      <c r="ADQ14" s="17" t="s">
        <v>1013</v>
      </c>
      <c r="ADR14" s="14" t="s">
        <v>1010</v>
      </c>
      <c r="ADS14" s="17" t="s">
        <v>1010</v>
      </c>
      <c r="ADT14" s="14" t="s">
        <v>1012</v>
      </c>
      <c r="ADU14" s="17" t="s">
        <v>1010</v>
      </c>
      <c r="ADV14" s="14" t="s">
        <v>1013</v>
      </c>
      <c r="ADW14" s="17" t="s">
        <v>1010</v>
      </c>
      <c r="ADX14" s="14" t="s">
        <v>1011</v>
      </c>
      <c r="ADY14" s="17" t="s">
        <v>1013</v>
      </c>
      <c r="ADZ14" s="14" t="s">
        <v>1010</v>
      </c>
      <c r="AEA14" s="17" t="s">
        <v>1013</v>
      </c>
      <c r="AEB14" s="14" t="s">
        <v>1011</v>
      </c>
      <c r="AEC14" s="17" t="s">
        <v>1011</v>
      </c>
      <c r="AED14" s="14" t="s">
        <v>1010</v>
      </c>
      <c r="AEE14" s="17" t="s">
        <v>1013</v>
      </c>
      <c r="AEF14" s="14" t="s">
        <v>1012</v>
      </c>
      <c r="AEG14" s="17" t="s">
        <v>1011</v>
      </c>
      <c r="AEH14" s="14" t="s">
        <v>1012</v>
      </c>
      <c r="AEI14" s="17" t="s">
        <v>1010</v>
      </c>
      <c r="AEJ14" s="14" t="s">
        <v>1011</v>
      </c>
      <c r="AEK14" s="17" t="s">
        <v>1012</v>
      </c>
      <c r="AEL14" s="14" t="s">
        <v>1011</v>
      </c>
      <c r="AEM14" s="17" t="s">
        <v>1012</v>
      </c>
      <c r="AEN14" s="14" t="s">
        <v>1013</v>
      </c>
      <c r="AEO14" s="17" t="s">
        <v>1013</v>
      </c>
      <c r="AEP14" s="14" t="s">
        <v>1010</v>
      </c>
      <c r="AEQ14" s="17" t="s">
        <v>1011</v>
      </c>
      <c r="AER14" s="14" t="s">
        <v>1012</v>
      </c>
      <c r="AES14" s="17" t="s">
        <v>1010</v>
      </c>
      <c r="AET14" s="14" t="s">
        <v>1013</v>
      </c>
      <c r="AEU14" s="17" t="s">
        <v>1013</v>
      </c>
      <c r="AEV14" s="14" t="s">
        <v>1010</v>
      </c>
      <c r="AEW14" s="17" t="s">
        <v>1011</v>
      </c>
      <c r="AEX14" s="14" t="s">
        <v>1012</v>
      </c>
      <c r="AEY14" s="17" t="s">
        <v>1013</v>
      </c>
      <c r="AEZ14" s="14" t="s">
        <v>1010</v>
      </c>
      <c r="AFA14" s="17" t="s">
        <v>1013</v>
      </c>
      <c r="AFB14" s="14" t="s">
        <v>1013</v>
      </c>
      <c r="AFC14" s="17" t="s">
        <v>1012</v>
      </c>
      <c r="AFD14" s="14" t="s">
        <v>1011</v>
      </c>
      <c r="AFE14" s="17" t="s">
        <v>1011</v>
      </c>
      <c r="AFF14" s="14" t="s">
        <v>1012</v>
      </c>
      <c r="AFG14" s="17" t="s">
        <v>1010</v>
      </c>
      <c r="AFH14" s="14" t="s">
        <v>1010</v>
      </c>
      <c r="AFI14" s="17" t="s">
        <v>1011</v>
      </c>
      <c r="AFJ14" s="14" t="s">
        <v>1013</v>
      </c>
      <c r="AFK14" s="17" t="s">
        <v>1013</v>
      </c>
      <c r="AFL14" s="14" t="s">
        <v>1010</v>
      </c>
      <c r="AFM14" s="17" t="s">
        <v>1012</v>
      </c>
      <c r="AFN14" s="14" t="s">
        <v>1013</v>
      </c>
      <c r="AFO14" s="17" t="s">
        <v>1010</v>
      </c>
      <c r="AFP14" s="14" t="s">
        <v>1012</v>
      </c>
      <c r="AFQ14" s="17" t="s">
        <v>1011</v>
      </c>
      <c r="AFR14" s="14" t="s">
        <v>1012</v>
      </c>
      <c r="AFS14" s="17" t="s">
        <v>1011</v>
      </c>
      <c r="AFT14" s="14" t="s">
        <v>1010</v>
      </c>
      <c r="AFU14" s="17" t="s">
        <v>1012</v>
      </c>
      <c r="AFV14" s="14" t="s">
        <v>1010</v>
      </c>
      <c r="AFW14" s="17" t="s">
        <v>1011</v>
      </c>
      <c r="AFX14" s="14" t="s">
        <v>1013</v>
      </c>
      <c r="AFY14" s="17" t="s">
        <v>1013</v>
      </c>
      <c r="AFZ14" s="14" t="s">
        <v>1011</v>
      </c>
      <c r="AGA14" s="17" t="s">
        <v>1013</v>
      </c>
      <c r="AGB14" s="14" t="s">
        <v>1013</v>
      </c>
      <c r="AGC14" s="17" t="s">
        <v>1012</v>
      </c>
      <c r="AGD14" s="14" t="s">
        <v>1012</v>
      </c>
      <c r="AGE14" s="17" t="s">
        <v>1013</v>
      </c>
      <c r="AGF14" s="14" t="s">
        <v>1012</v>
      </c>
      <c r="AGG14" s="17" t="s">
        <v>1011</v>
      </c>
      <c r="AGH14" s="14" t="s">
        <v>1012</v>
      </c>
      <c r="AGI14" s="17" t="s">
        <v>1012</v>
      </c>
      <c r="AGJ14" s="14" t="s">
        <v>1012</v>
      </c>
      <c r="AGK14" s="17" t="s">
        <v>1010</v>
      </c>
      <c r="AGL14" s="14" t="s">
        <v>1011</v>
      </c>
      <c r="AGM14" s="17" t="s">
        <v>1013</v>
      </c>
      <c r="AGN14" s="14" t="s">
        <v>1013</v>
      </c>
      <c r="AGO14" s="17" t="s">
        <v>1010</v>
      </c>
      <c r="AGP14" s="14" t="s">
        <v>1012</v>
      </c>
      <c r="AGQ14" s="17" t="s">
        <v>1011</v>
      </c>
      <c r="AGR14" s="14" t="s">
        <v>1011</v>
      </c>
      <c r="AGS14" s="17" t="s">
        <v>1013</v>
      </c>
      <c r="AGT14" s="14" t="s">
        <v>1010</v>
      </c>
      <c r="AGU14" s="17" t="s">
        <v>1010</v>
      </c>
      <c r="AGV14" s="14" t="s">
        <v>1010</v>
      </c>
      <c r="AGW14" s="17" t="s">
        <v>1010</v>
      </c>
      <c r="AGX14" s="14" t="s">
        <v>1011</v>
      </c>
      <c r="AGY14" s="17" t="s">
        <v>1012</v>
      </c>
      <c r="AGZ14" s="14" t="s">
        <v>1013</v>
      </c>
      <c r="AHA14" s="17" t="s">
        <v>1011</v>
      </c>
      <c r="AHB14" s="14" t="s">
        <v>1010</v>
      </c>
      <c r="AHC14" s="17" t="s">
        <v>1010</v>
      </c>
      <c r="AHD14" s="14" t="s">
        <v>1013</v>
      </c>
      <c r="AHE14" s="17" t="s">
        <v>1012</v>
      </c>
      <c r="AHF14" s="14" t="s">
        <v>1012</v>
      </c>
      <c r="AHG14" s="17" t="s">
        <v>1012</v>
      </c>
      <c r="AHH14" s="14" t="s">
        <v>1010</v>
      </c>
      <c r="AHI14" s="17" t="s">
        <v>1011</v>
      </c>
      <c r="AHJ14" s="14" t="s">
        <v>1011</v>
      </c>
      <c r="AHK14" s="17" t="s">
        <v>1012</v>
      </c>
      <c r="AHL14" s="14" t="s">
        <v>1013</v>
      </c>
      <c r="AHM14" s="17" t="s">
        <v>1012</v>
      </c>
      <c r="AHN14" s="14" t="s">
        <v>1012</v>
      </c>
      <c r="AHO14" s="17" t="s">
        <v>1013</v>
      </c>
      <c r="AHP14" s="14" t="s">
        <v>1012</v>
      </c>
      <c r="AHQ14" s="17" t="s">
        <v>1013</v>
      </c>
      <c r="AHR14" s="14" t="s">
        <v>1013</v>
      </c>
      <c r="AHS14" s="17" t="s">
        <v>1011</v>
      </c>
      <c r="AHT14" s="14" t="s">
        <v>1013</v>
      </c>
      <c r="AHU14" s="17" t="s">
        <v>1012</v>
      </c>
      <c r="AHV14" s="14" t="s">
        <v>1013</v>
      </c>
      <c r="AHW14" s="17" t="s">
        <v>1012</v>
      </c>
      <c r="AHX14" s="14" t="s">
        <v>1013</v>
      </c>
      <c r="AHY14" s="17" t="s">
        <v>1011</v>
      </c>
      <c r="AHZ14" s="14" t="s">
        <v>1012</v>
      </c>
      <c r="AIA14" s="17" t="s">
        <v>1012</v>
      </c>
      <c r="AIB14" s="14" t="s">
        <v>1012</v>
      </c>
      <c r="AIC14" s="17" t="s">
        <v>1013</v>
      </c>
      <c r="AID14" s="14" t="s">
        <v>1011</v>
      </c>
      <c r="AIE14" s="17" t="s">
        <v>1011</v>
      </c>
      <c r="AIF14" s="14" t="s">
        <v>1011</v>
      </c>
      <c r="AIG14" s="17" t="s">
        <v>1011</v>
      </c>
      <c r="AIH14" s="14" t="s">
        <v>1013</v>
      </c>
      <c r="AII14" s="17" t="s">
        <v>1012</v>
      </c>
      <c r="AIJ14" s="14" t="s">
        <v>1010</v>
      </c>
      <c r="AIK14" s="17" t="s">
        <v>1011</v>
      </c>
      <c r="AIL14" s="14" t="s">
        <v>1010</v>
      </c>
      <c r="AIM14" s="17" t="s">
        <v>1013</v>
      </c>
      <c r="AIN14" s="14" t="s">
        <v>1013</v>
      </c>
      <c r="AIO14" s="17" t="s">
        <v>1010</v>
      </c>
      <c r="AIP14" s="14" t="s">
        <v>1012</v>
      </c>
      <c r="AIQ14" s="17" t="s">
        <v>1010</v>
      </c>
      <c r="AIR14" s="14" t="s">
        <v>1013</v>
      </c>
      <c r="AIS14" s="17" t="s">
        <v>1010</v>
      </c>
      <c r="AIT14" s="14" t="s">
        <v>1011</v>
      </c>
      <c r="AIU14" s="17" t="s">
        <v>1011</v>
      </c>
      <c r="AIV14" s="14" t="s">
        <v>1012</v>
      </c>
      <c r="AIW14" s="17" t="s">
        <v>1010</v>
      </c>
      <c r="AIX14" s="14" t="s">
        <v>1010</v>
      </c>
      <c r="AIY14" s="17" t="s">
        <v>1010</v>
      </c>
      <c r="AIZ14" s="14" t="s">
        <v>1010</v>
      </c>
      <c r="AJA14" s="17" t="s">
        <v>1012</v>
      </c>
      <c r="AJB14" s="14" t="s">
        <v>1013</v>
      </c>
      <c r="AJC14" s="17" t="s">
        <v>1012</v>
      </c>
      <c r="AJD14" s="14" t="s">
        <v>1013</v>
      </c>
      <c r="AJE14" s="17" t="s">
        <v>1013</v>
      </c>
      <c r="AJF14" s="14" t="s">
        <v>1013</v>
      </c>
      <c r="AJG14" s="17" t="s">
        <v>1010</v>
      </c>
      <c r="AJH14" s="14" t="s">
        <v>1012</v>
      </c>
      <c r="AJI14" s="17" t="s">
        <v>1013</v>
      </c>
      <c r="AJJ14" s="14" t="s">
        <v>1011</v>
      </c>
      <c r="AJK14" s="17" t="s">
        <v>1013</v>
      </c>
      <c r="AJL14" s="14" t="s">
        <v>1012</v>
      </c>
      <c r="AJM14" s="17" t="s">
        <v>1010</v>
      </c>
      <c r="AJN14" s="14" t="s">
        <v>1011</v>
      </c>
      <c r="AJO14" s="17" t="s">
        <v>1013</v>
      </c>
      <c r="AJP14" s="14" t="s">
        <v>1010</v>
      </c>
      <c r="AJQ14" s="17" t="s">
        <v>1012</v>
      </c>
      <c r="AJR14" s="14" t="s">
        <v>1012</v>
      </c>
      <c r="AJS14" s="17" t="s">
        <v>1011</v>
      </c>
      <c r="AJT14" s="14" t="s">
        <v>1011</v>
      </c>
      <c r="AJU14" s="17" t="s">
        <v>1013</v>
      </c>
      <c r="AJV14" s="14" t="s">
        <v>1010</v>
      </c>
      <c r="AJW14" s="17" t="s">
        <v>1010</v>
      </c>
      <c r="AJX14" s="14" t="s">
        <v>1012</v>
      </c>
      <c r="AJY14" s="17" t="s">
        <v>1012</v>
      </c>
      <c r="AJZ14" s="14" t="s">
        <v>1013</v>
      </c>
      <c r="AKA14" s="17" t="s">
        <v>1013</v>
      </c>
      <c r="AKB14" s="14" t="s">
        <v>1012</v>
      </c>
      <c r="AKC14" s="17" t="s">
        <v>1012</v>
      </c>
      <c r="AKD14" s="14" t="s">
        <v>1010</v>
      </c>
      <c r="AKE14" s="17" t="s">
        <v>1010</v>
      </c>
      <c r="AKF14" s="14" t="s">
        <v>1010</v>
      </c>
      <c r="AKG14" s="17" t="s">
        <v>1013</v>
      </c>
      <c r="AKH14" s="14" t="s">
        <v>1010</v>
      </c>
      <c r="AKI14" s="17" t="s">
        <v>1011</v>
      </c>
      <c r="AKJ14" s="14" t="s">
        <v>1011</v>
      </c>
      <c r="AKK14" s="17" t="s">
        <v>1010</v>
      </c>
      <c r="AKL14" s="14" t="s">
        <v>1010</v>
      </c>
      <c r="AKM14" s="17" t="s">
        <v>1012</v>
      </c>
      <c r="AKN14" s="14" t="s">
        <v>1012</v>
      </c>
      <c r="AKO14" s="17" t="s">
        <v>1013</v>
      </c>
      <c r="AKP14" s="14" t="s">
        <v>1011</v>
      </c>
      <c r="AKQ14" s="17" t="s">
        <v>1011</v>
      </c>
      <c r="AKR14" s="14" t="s">
        <v>1013</v>
      </c>
      <c r="AKS14" s="17" t="s">
        <v>1010</v>
      </c>
      <c r="AKT14" s="14" t="s">
        <v>1010</v>
      </c>
      <c r="AKU14" s="17" t="s">
        <v>1013</v>
      </c>
      <c r="AKV14" s="14" t="s">
        <v>1011</v>
      </c>
      <c r="AKW14" s="17" t="s">
        <v>1011</v>
      </c>
      <c r="AKX14" s="14" t="s">
        <v>1010</v>
      </c>
      <c r="AKY14" s="17" t="s">
        <v>1012</v>
      </c>
      <c r="AKZ14" s="14" t="s">
        <v>1013</v>
      </c>
      <c r="ALA14" s="17" t="s">
        <v>1013</v>
      </c>
      <c r="ALB14" s="14" t="s">
        <v>1010</v>
      </c>
      <c r="ALC14" s="17" t="s">
        <v>1013</v>
      </c>
      <c r="ALD14" s="14" t="s">
        <v>1011</v>
      </c>
      <c r="ALE14" s="17" t="s">
        <v>1010</v>
      </c>
      <c r="ALF14" s="14" t="s">
        <v>1011</v>
      </c>
      <c r="ALG14" s="17" t="s">
        <v>1012</v>
      </c>
      <c r="ALH14" s="14" t="s">
        <v>1013</v>
      </c>
      <c r="ALI14" s="17" t="s">
        <v>1013</v>
      </c>
      <c r="ALJ14" s="14" t="s">
        <v>1011</v>
      </c>
      <c r="ALK14" s="17" t="s">
        <v>1010</v>
      </c>
      <c r="ALL14" s="14" t="s">
        <v>1010</v>
      </c>
      <c r="ALM14" s="17" t="s">
        <v>1013</v>
      </c>
      <c r="ALN14" s="14" t="s">
        <v>1011</v>
      </c>
      <c r="ALO14" s="17" t="s">
        <v>1012</v>
      </c>
      <c r="ALP14" s="14" t="s">
        <v>1011</v>
      </c>
      <c r="ALQ14" s="17" t="s">
        <v>1010</v>
      </c>
      <c r="ALR14" s="14" t="s">
        <v>1013</v>
      </c>
      <c r="ALS14" s="17" t="s">
        <v>1013</v>
      </c>
      <c r="ALT14" s="14" t="s">
        <v>1013</v>
      </c>
      <c r="ALU14" s="17" t="s">
        <v>1012</v>
      </c>
      <c r="ALV14" s="14" t="s">
        <v>1012</v>
      </c>
      <c r="ALW14" s="17" t="s">
        <v>1010</v>
      </c>
      <c r="ALX14" s="14" t="s">
        <v>1011</v>
      </c>
      <c r="ALY14" s="21" t="s">
        <v>1011</v>
      </c>
    </row>
    <row r="15" spans="1:1016" x14ac:dyDescent="0.25">
      <c r="A15" t="s">
        <v>23</v>
      </c>
      <c r="B15" s="1">
        <v>44943</v>
      </c>
      <c r="C15" t="s">
        <v>1010</v>
      </c>
      <c r="D15" t="s">
        <v>1017</v>
      </c>
      <c r="E15" t="s">
        <v>1022</v>
      </c>
      <c r="F15" t="s">
        <v>1032</v>
      </c>
      <c r="G15">
        <v>9</v>
      </c>
      <c r="H15">
        <v>9817</v>
      </c>
      <c r="I15">
        <v>15</v>
      </c>
      <c r="J15" t="s">
        <v>1038</v>
      </c>
      <c r="K15">
        <v>75100.05</v>
      </c>
      <c r="N15" s="14" t="s">
        <v>1014</v>
      </c>
      <c r="O15" s="17" t="s">
        <v>1015</v>
      </c>
      <c r="P15" s="14" t="s">
        <v>1016</v>
      </c>
      <c r="Q15" s="17" t="s">
        <v>1017</v>
      </c>
      <c r="R15" s="14" t="s">
        <v>1017</v>
      </c>
      <c r="S15" s="17" t="s">
        <v>1015</v>
      </c>
      <c r="T15" s="14" t="s">
        <v>1015</v>
      </c>
      <c r="U15" s="17" t="s">
        <v>1016</v>
      </c>
      <c r="V15" s="14" t="s">
        <v>1016</v>
      </c>
      <c r="W15" s="17" t="s">
        <v>1015</v>
      </c>
      <c r="X15" s="14" t="s">
        <v>1018</v>
      </c>
      <c r="Y15" s="17" t="s">
        <v>1019</v>
      </c>
      <c r="Z15" s="14" t="s">
        <v>1016</v>
      </c>
      <c r="AA15" s="17" t="s">
        <v>1017</v>
      </c>
      <c r="AB15" s="14" t="s">
        <v>1019</v>
      </c>
      <c r="AC15" s="17" t="s">
        <v>1017</v>
      </c>
      <c r="AD15" s="14" t="s">
        <v>1014</v>
      </c>
      <c r="AE15" s="17" t="s">
        <v>1016</v>
      </c>
      <c r="AF15" s="14" t="s">
        <v>1016</v>
      </c>
      <c r="AG15" s="17" t="s">
        <v>1020</v>
      </c>
      <c r="AH15" s="14" t="s">
        <v>1018</v>
      </c>
      <c r="AI15" s="17" t="s">
        <v>1019</v>
      </c>
      <c r="AJ15" s="14" t="s">
        <v>1014</v>
      </c>
      <c r="AK15" s="17" t="s">
        <v>1017</v>
      </c>
      <c r="AL15" s="14" t="s">
        <v>1019</v>
      </c>
      <c r="AM15" s="17" t="s">
        <v>1021</v>
      </c>
      <c r="AN15" s="14" t="s">
        <v>1014</v>
      </c>
      <c r="AO15" s="17" t="s">
        <v>1017</v>
      </c>
      <c r="AP15" s="14" t="s">
        <v>1015</v>
      </c>
      <c r="AQ15" s="17" t="s">
        <v>1018</v>
      </c>
      <c r="AR15" s="14" t="s">
        <v>1015</v>
      </c>
      <c r="AS15" s="17" t="s">
        <v>1021</v>
      </c>
      <c r="AT15" s="14" t="s">
        <v>1014</v>
      </c>
      <c r="AU15" s="17" t="s">
        <v>1020</v>
      </c>
      <c r="AV15" s="14" t="s">
        <v>1021</v>
      </c>
      <c r="AW15" s="17" t="s">
        <v>1014</v>
      </c>
      <c r="AX15" s="14" t="s">
        <v>1017</v>
      </c>
      <c r="AY15" s="17" t="s">
        <v>1016</v>
      </c>
      <c r="AZ15" s="14" t="s">
        <v>1018</v>
      </c>
      <c r="BA15" s="17" t="s">
        <v>1015</v>
      </c>
      <c r="BB15" s="14" t="s">
        <v>1018</v>
      </c>
      <c r="BC15" s="17" t="s">
        <v>1021</v>
      </c>
      <c r="BD15" s="14" t="s">
        <v>1018</v>
      </c>
      <c r="BE15" s="17" t="s">
        <v>1017</v>
      </c>
      <c r="BF15" s="14" t="s">
        <v>1014</v>
      </c>
      <c r="BG15" s="17" t="s">
        <v>1015</v>
      </c>
      <c r="BH15" s="14" t="s">
        <v>1021</v>
      </c>
      <c r="BI15" s="17" t="s">
        <v>1016</v>
      </c>
      <c r="BJ15" s="14" t="s">
        <v>1017</v>
      </c>
      <c r="BK15" s="17" t="s">
        <v>1018</v>
      </c>
      <c r="BL15" s="14" t="s">
        <v>1016</v>
      </c>
      <c r="BM15" s="17" t="s">
        <v>1015</v>
      </c>
      <c r="BN15" s="14" t="s">
        <v>1017</v>
      </c>
      <c r="BO15" s="17" t="s">
        <v>1016</v>
      </c>
      <c r="BP15" s="14" t="s">
        <v>1016</v>
      </c>
      <c r="BQ15" s="17" t="s">
        <v>1019</v>
      </c>
      <c r="BR15" s="14" t="s">
        <v>1017</v>
      </c>
      <c r="BS15" s="17" t="s">
        <v>1021</v>
      </c>
      <c r="BT15" s="14" t="s">
        <v>1021</v>
      </c>
      <c r="BU15" s="17" t="s">
        <v>1019</v>
      </c>
      <c r="BV15" s="14" t="s">
        <v>1019</v>
      </c>
      <c r="BW15" s="17" t="s">
        <v>1021</v>
      </c>
      <c r="BX15" s="14" t="s">
        <v>1019</v>
      </c>
      <c r="BY15" s="17" t="s">
        <v>1019</v>
      </c>
      <c r="BZ15" s="14" t="s">
        <v>1021</v>
      </c>
      <c r="CA15" s="17" t="s">
        <v>1017</v>
      </c>
      <c r="CB15" s="14" t="s">
        <v>1016</v>
      </c>
      <c r="CC15" s="17" t="s">
        <v>1017</v>
      </c>
      <c r="CD15" s="14" t="s">
        <v>1016</v>
      </c>
      <c r="CE15" s="17" t="s">
        <v>1019</v>
      </c>
      <c r="CF15" s="14" t="s">
        <v>1019</v>
      </c>
      <c r="CG15" s="17" t="s">
        <v>1020</v>
      </c>
      <c r="CH15" s="14" t="s">
        <v>1018</v>
      </c>
      <c r="CI15" s="17" t="s">
        <v>1018</v>
      </c>
      <c r="CJ15" s="14" t="s">
        <v>1016</v>
      </c>
      <c r="CK15" s="17" t="s">
        <v>1015</v>
      </c>
      <c r="CL15" s="14" t="s">
        <v>1019</v>
      </c>
      <c r="CM15" s="17" t="s">
        <v>1014</v>
      </c>
      <c r="CN15" s="14" t="s">
        <v>1019</v>
      </c>
      <c r="CO15" s="17" t="s">
        <v>1020</v>
      </c>
      <c r="CP15" s="14" t="s">
        <v>1016</v>
      </c>
      <c r="CQ15" s="17" t="s">
        <v>1017</v>
      </c>
      <c r="CR15" s="14" t="s">
        <v>1019</v>
      </c>
      <c r="CS15" s="17" t="s">
        <v>1017</v>
      </c>
      <c r="CT15" s="14" t="s">
        <v>1021</v>
      </c>
      <c r="CU15" s="17" t="s">
        <v>1021</v>
      </c>
      <c r="CV15" s="14" t="s">
        <v>1019</v>
      </c>
      <c r="CW15" s="17" t="s">
        <v>1019</v>
      </c>
      <c r="CX15" s="14" t="s">
        <v>1015</v>
      </c>
      <c r="CY15" s="17" t="s">
        <v>1020</v>
      </c>
      <c r="CZ15" s="14" t="s">
        <v>1021</v>
      </c>
      <c r="DA15" s="17" t="s">
        <v>1021</v>
      </c>
      <c r="DB15" s="14" t="s">
        <v>1014</v>
      </c>
      <c r="DC15" s="17" t="s">
        <v>1021</v>
      </c>
      <c r="DD15" s="14" t="s">
        <v>1021</v>
      </c>
      <c r="DE15" s="17" t="s">
        <v>1014</v>
      </c>
      <c r="DF15" s="14" t="s">
        <v>1020</v>
      </c>
      <c r="DG15" s="17" t="s">
        <v>1018</v>
      </c>
      <c r="DH15" s="14" t="s">
        <v>1016</v>
      </c>
      <c r="DI15" s="17" t="s">
        <v>1017</v>
      </c>
      <c r="DJ15" s="14" t="s">
        <v>1020</v>
      </c>
      <c r="DK15" s="17" t="s">
        <v>1015</v>
      </c>
      <c r="DL15" s="14" t="s">
        <v>1014</v>
      </c>
      <c r="DM15" s="17" t="s">
        <v>1015</v>
      </c>
      <c r="DN15" s="14" t="s">
        <v>1018</v>
      </c>
      <c r="DO15" s="17" t="s">
        <v>1017</v>
      </c>
      <c r="DP15" s="14" t="s">
        <v>1017</v>
      </c>
      <c r="DQ15" s="17" t="s">
        <v>1021</v>
      </c>
      <c r="DR15" s="14" t="s">
        <v>1019</v>
      </c>
      <c r="DS15" s="17" t="s">
        <v>1016</v>
      </c>
      <c r="DT15" s="14" t="s">
        <v>1019</v>
      </c>
      <c r="DU15" s="17" t="s">
        <v>1014</v>
      </c>
      <c r="DV15" s="14" t="s">
        <v>1020</v>
      </c>
      <c r="DW15" s="17" t="s">
        <v>1021</v>
      </c>
      <c r="DX15" s="14" t="s">
        <v>1014</v>
      </c>
      <c r="DY15" s="17" t="s">
        <v>1015</v>
      </c>
      <c r="DZ15" s="14" t="s">
        <v>1018</v>
      </c>
      <c r="EA15" s="17" t="s">
        <v>1015</v>
      </c>
      <c r="EB15" s="14" t="s">
        <v>1014</v>
      </c>
      <c r="EC15" s="17" t="s">
        <v>1018</v>
      </c>
      <c r="ED15" s="14" t="s">
        <v>1017</v>
      </c>
      <c r="EE15" s="17" t="s">
        <v>1015</v>
      </c>
      <c r="EF15" s="14" t="s">
        <v>1019</v>
      </c>
      <c r="EG15" s="17" t="s">
        <v>1014</v>
      </c>
      <c r="EH15" s="14" t="s">
        <v>1014</v>
      </c>
      <c r="EI15" s="17" t="s">
        <v>1019</v>
      </c>
      <c r="EJ15" s="14" t="s">
        <v>1020</v>
      </c>
      <c r="EK15" s="17" t="s">
        <v>1016</v>
      </c>
      <c r="EL15" s="14" t="s">
        <v>1019</v>
      </c>
      <c r="EM15" s="17" t="s">
        <v>1017</v>
      </c>
      <c r="EN15" s="14" t="s">
        <v>1017</v>
      </c>
      <c r="EO15" s="17" t="s">
        <v>1015</v>
      </c>
      <c r="EP15" s="14" t="s">
        <v>1017</v>
      </c>
      <c r="EQ15" s="17" t="s">
        <v>1019</v>
      </c>
      <c r="ER15" s="14" t="s">
        <v>1021</v>
      </c>
      <c r="ES15" s="17" t="s">
        <v>1020</v>
      </c>
      <c r="ET15" s="14" t="s">
        <v>1016</v>
      </c>
      <c r="EU15" s="17" t="s">
        <v>1015</v>
      </c>
      <c r="EV15" s="14" t="s">
        <v>1017</v>
      </c>
      <c r="EW15" s="17" t="s">
        <v>1019</v>
      </c>
      <c r="EX15" s="14" t="s">
        <v>1015</v>
      </c>
      <c r="EY15" s="17" t="s">
        <v>1014</v>
      </c>
      <c r="EZ15" s="14" t="s">
        <v>1016</v>
      </c>
      <c r="FA15" s="17" t="s">
        <v>1019</v>
      </c>
      <c r="FB15" s="14" t="s">
        <v>1021</v>
      </c>
      <c r="FC15" s="17" t="s">
        <v>1015</v>
      </c>
      <c r="FD15" s="14" t="s">
        <v>1018</v>
      </c>
      <c r="FE15" s="17" t="s">
        <v>1018</v>
      </c>
      <c r="FF15" s="14" t="s">
        <v>1016</v>
      </c>
      <c r="FG15" s="17" t="s">
        <v>1020</v>
      </c>
      <c r="FH15" s="14" t="s">
        <v>1018</v>
      </c>
      <c r="FI15" s="17" t="s">
        <v>1020</v>
      </c>
      <c r="FJ15" s="14" t="s">
        <v>1015</v>
      </c>
      <c r="FK15" s="17" t="s">
        <v>1015</v>
      </c>
      <c r="FL15" s="14" t="s">
        <v>1017</v>
      </c>
      <c r="FM15" s="17" t="s">
        <v>1016</v>
      </c>
      <c r="FN15" s="14" t="s">
        <v>1021</v>
      </c>
      <c r="FO15" s="17" t="s">
        <v>1014</v>
      </c>
      <c r="FP15" s="14" t="s">
        <v>1019</v>
      </c>
      <c r="FQ15" s="17" t="s">
        <v>1018</v>
      </c>
      <c r="FR15" s="14" t="s">
        <v>1021</v>
      </c>
      <c r="FS15" s="17" t="s">
        <v>1017</v>
      </c>
      <c r="FT15" s="14" t="s">
        <v>1019</v>
      </c>
      <c r="FU15" s="17" t="s">
        <v>1016</v>
      </c>
      <c r="FV15" s="14" t="s">
        <v>1019</v>
      </c>
      <c r="FW15" s="17" t="s">
        <v>1014</v>
      </c>
      <c r="FX15" s="14" t="s">
        <v>1019</v>
      </c>
      <c r="FY15" s="17" t="s">
        <v>1016</v>
      </c>
      <c r="FZ15" s="14" t="s">
        <v>1021</v>
      </c>
      <c r="GA15" s="17" t="s">
        <v>1014</v>
      </c>
      <c r="GB15" s="14" t="s">
        <v>1020</v>
      </c>
      <c r="GC15" s="17" t="s">
        <v>1017</v>
      </c>
      <c r="GD15" s="14" t="s">
        <v>1019</v>
      </c>
      <c r="GE15" s="17" t="s">
        <v>1015</v>
      </c>
      <c r="GF15" s="14" t="s">
        <v>1018</v>
      </c>
      <c r="GG15" s="17" t="s">
        <v>1019</v>
      </c>
      <c r="GH15" s="14" t="s">
        <v>1020</v>
      </c>
      <c r="GI15" s="17" t="s">
        <v>1019</v>
      </c>
      <c r="GJ15" s="14" t="s">
        <v>1016</v>
      </c>
      <c r="GK15" s="17" t="s">
        <v>1021</v>
      </c>
      <c r="GL15" s="14" t="s">
        <v>1021</v>
      </c>
      <c r="GM15" s="17" t="s">
        <v>1015</v>
      </c>
      <c r="GN15" s="14" t="s">
        <v>1017</v>
      </c>
      <c r="GO15" s="17" t="s">
        <v>1015</v>
      </c>
      <c r="GP15" s="14" t="s">
        <v>1017</v>
      </c>
      <c r="GQ15" s="17" t="s">
        <v>1016</v>
      </c>
      <c r="GR15" s="14" t="s">
        <v>1018</v>
      </c>
      <c r="GS15" s="17" t="s">
        <v>1017</v>
      </c>
      <c r="GT15" s="14" t="s">
        <v>1021</v>
      </c>
      <c r="GU15" s="17" t="s">
        <v>1021</v>
      </c>
      <c r="GV15" s="14" t="s">
        <v>1020</v>
      </c>
      <c r="GW15" s="17" t="s">
        <v>1017</v>
      </c>
      <c r="GX15" s="14" t="s">
        <v>1016</v>
      </c>
      <c r="GY15" s="17" t="s">
        <v>1020</v>
      </c>
      <c r="GZ15" s="14" t="s">
        <v>1020</v>
      </c>
      <c r="HA15" s="17" t="s">
        <v>1014</v>
      </c>
      <c r="HB15" s="14" t="s">
        <v>1021</v>
      </c>
      <c r="HC15" s="17" t="s">
        <v>1015</v>
      </c>
      <c r="HD15" s="14" t="s">
        <v>1015</v>
      </c>
      <c r="HE15" s="17" t="s">
        <v>1016</v>
      </c>
      <c r="HF15" s="14" t="s">
        <v>1017</v>
      </c>
      <c r="HG15" s="17" t="s">
        <v>1020</v>
      </c>
      <c r="HH15" s="14" t="s">
        <v>1021</v>
      </c>
      <c r="HI15" s="17" t="s">
        <v>1017</v>
      </c>
      <c r="HJ15" s="14" t="s">
        <v>1020</v>
      </c>
      <c r="HK15" s="17" t="s">
        <v>1017</v>
      </c>
      <c r="HL15" s="14" t="s">
        <v>1014</v>
      </c>
      <c r="HM15" s="17" t="s">
        <v>1017</v>
      </c>
      <c r="HN15" s="14" t="s">
        <v>1015</v>
      </c>
      <c r="HO15" s="17" t="s">
        <v>1018</v>
      </c>
      <c r="HP15" s="14" t="s">
        <v>1017</v>
      </c>
      <c r="HQ15" s="17" t="s">
        <v>1014</v>
      </c>
      <c r="HR15" s="14" t="s">
        <v>1017</v>
      </c>
      <c r="HS15" s="17" t="s">
        <v>1019</v>
      </c>
      <c r="HT15" s="14" t="s">
        <v>1014</v>
      </c>
      <c r="HU15" s="17" t="s">
        <v>1018</v>
      </c>
      <c r="HV15" s="14" t="s">
        <v>1019</v>
      </c>
      <c r="HW15" s="17" t="s">
        <v>1014</v>
      </c>
      <c r="HX15" s="14" t="s">
        <v>1021</v>
      </c>
      <c r="HY15" s="17" t="s">
        <v>1020</v>
      </c>
      <c r="HZ15" s="14" t="s">
        <v>1014</v>
      </c>
      <c r="IA15" s="17" t="s">
        <v>1018</v>
      </c>
      <c r="IB15" s="14" t="s">
        <v>1016</v>
      </c>
      <c r="IC15" s="17" t="s">
        <v>1020</v>
      </c>
      <c r="ID15" s="14" t="s">
        <v>1014</v>
      </c>
      <c r="IE15" s="17" t="s">
        <v>1020</v>
      </c>
      <c r="IF15" s="14" t="s">
        <v>1017</v>
      </c>
      <c r="IG15" s="17" t="s">
        <v>1014</v>
      </c>
      <c r="IH15" s="14" t="s">
        <v>1019</v>
      </c>
      <c r="II15" s="17" t="s">
        <v>1018</v>
      </c>
      <c r="IJ15" s="14" t="s">
        <v>1015</v>
      </c>
      <c r="IK15" s="17" t="s">
        <v>1015</v>
      </c>
      <c r="IL15" s="14" t="s">
        <v>1018</v>
      </c>
      <c r="IM15" s="17" t="s">
        <v>1016</v>
      </c>
      <c r="IN15" s="14" t="s">
        <v>1018</v>
      </c>
      <c r="IO15" s="17" t="s">
        <v>1017</v>
      </c>
      <c r="IP15" s="14" t="s">
        <v>1018</v>
      </c>
      <c r="IQ15" s="17" t="s">
        <v>1018</v>
      </c>
      <c r="IR15" s="14" t="s">
        <v>1020</v>
      </c>
      <c r="IS15" s="17" t="s">
        <v>1015</v>
      </c>
      <c r="IT15" s="14" t="s">
        <v>1016</v>
      </c>
      <c r="IU15" s="17" t="s">
        <v>1020</v>
      </c>
      <c r="IV15" s="14" t="s">
        <v>1015</v>
      </c>
      <c r="IW15" s="17" t="s">
        <v>1018</v>
      </c>
      <c r="IX15" s="14" t="s">
        <v>1015</v>
      </c>
      <c r="IY15" s="17" t="s">
        <v>1021</v>
      </c>
      <c r="IZ15" s="14" t="s">
        <v>1014</v>
      </c>
      <c r="JA15" s="17" t="s">
        <v>1014</v>
      </c>
      <c r="JB15" s="14" t="s">
        <v>1019</v>
      </c>
      <c r="JC15" s="17" t="s">
        <v>1017</v>
      </c>
      <c r="JD15" s="14" t="s">
        <v>1018</v>
      </c>
      <c r="JE15" s="17" t="s">
        <v>1018</v>
      </c>
      <c r="JF15" s="14" t="s">
        <v>1021</v>
      </c>
      <c r="JG15" s="17" t="s">
        <v>1021</v>
      </c>
      <c r="JH15" s="14" t="s">
        <v>1017</v>
      </c>
      <c r="JI15" s="17" t="s">
        <v>1016</v>
      </c>
      <c r="JJ15" s="14" t="s">
        <v>1015</v>
      </c>
      <c r="JK15" s="17" t="s">
        <v>1019</v>
      </c>
      <c r="JL15" s="14" t="s">
        <v>1021</v>
      </c>
      <c r="JM15" s="17" t="s">
        <v>1020</v>
      </c>
      <c r="JN15" s="14" t="s">
        <v>1014</v>
      </c>
      <c r="JO15" s="17" t="s">
        <v>1018</v>
      </c>
      <c r="JP15" s="14" t="s">
        <v>1014</v>
      </c>
      <c r="JQ15" s="17" t="s">
        <v>1021</v>
      </c>
      <c r="JR15" s="14" t="s">
        <v>1021</v>
      </c>
      <c r="JS15" s="17" t="s">
        <v>1020</v>
      </c>
      <c r="JT15" s="14" t="s">
        <v>1020</v>
      </c>
      <c r="JU15" s="17" t="s">
        <v>1014</v>
      </c>
      <c r="JV15" s="14" t="s">
        <v>1017</v>
      </c>
      <c r="JW15" s="17" t="s">
        <v>1014</v>
      </c>
      <c r="JX15" s="14" t="s">
        <v>1021</v>
      </c>
      <c r="JY15" s="17" t="s">
        <v>1014</v>
      </c>
      <c r="JZ15" s="14" t="s">
        <v>1018</v>
      </c>
      <c r="KA15" s="17" t="s">
        <v>1017</v>
      </c>
      <c r="KB15" s="14" t="s">
        <v>1021</v>
      </c>
      <c r="KC15" s="17" t="s">
        <v>1021</v>
      </c>
      <c r="KD15" s="14" t="s">
        <v>1014</v>
      </c>
      <c r="KE15" s="17" t="s">
        <v>1015</v>
      </c>
      <c r="KF15" s="14" t="s">
        <v>1019</v>
      </c>
      <c r="KG15" s="17" t="s">
        <v>1021</v>
      </c>
      <c r="KH15" s="14" t="s">
        <v>1016</v>
      </c>
      <c r="KI15" s="17" t="s">
        <v>1016</v>
      </c>
      <c r="KJ15" s="14" t="s">
        <v>1021</v>
      </c>
      <c r="KK15" s="17" t="s">
        <v>1019</v>
      </c>
      <c r="KL15" s="14" t="s">
        <v>1015</v>
      </c>
      <c r="KM15" s="17" t="s">
        <v>1021</v>
      </c>
      <c r="KN15" s="14" t="s">
        <v>1018</v>
      </c>
      <c r="KO15" s="17" t="s">
        <v>1019</v>
      </c>
      <c r="KP15" s="14" t="s">
        <v>1019</v>
      </c>
      <c r="KQ15" s="17" t="s">
        <v>1014</v>
      </c>
      <c r="KR15" s="14" t="s">
        <v>1015</v>
      </c>
      <c r="KS15" s="17" t="s">
        <v>1018</v>
      </c>
      <c r="KT15" s="14" t="s">
        <v>1017</v>
      </c>
      <c r="KU15" s="17" t="s">
        <v>1014</v>
      </c>
      <c r="KV15" s="14" t="s">
        <v>1016</v>
      </c>
      <c r="KW15" s="17" t="s">
        <v>1018</v>
      </c>
      <c r="KX15" s="14" t="s">
        <v>1016</v>
      </c>
      <c r="KY15" s="17" t="s">
        <v>1018</v>
      </c>
      <c r="KZ15" s="14" t="s">
        <v>1018</v>
      </c>
      <c r="LA15" s="17" t="s">
        <v>1015</v>
      </c>
      <c r="LB15" s="14" t="s">
        <v>1019</v>
      </c>
      <c r="LC15" s="17" t="s">
        <v>1018</v>
      </c>
      <c r="LD15" s="14" t="s">
        <v>1015</v>
      </c>
      <c r="LE15" s="17" t="s">
        <v>1017</v>
      </c>
      <c r="LF15" s="14" t="s">
        <v>1021</v>
      </c>
      <c r="LG15" s="17" t="s">
        <v>1021</v>
      </c>
      <c r="LH15" s="14" t="s">
        <v>1019</v>
      </c>
      <c r="LI15" s="17" t="s">
        <v>1015</v>
      </c>
      <c r="LJ15" s="14" t="s">
        <v>1017</v>
      </c>
      <c r="LK15" s="17" t="s">
        <v>1014</v>
      </c>
      <c r="LL15" s="14" t="s">
        <v>1018</v>
      </c>
      <c r="LM15" s="17" t="s">
        <v>1018</v>
      </c>
      <c r="LN15" s="14" t="s">
        <v>1015</v>
      </c>
      <c r="LO15" s="17" t="s">
        <v>1018</v>
      </c>
      <c r="LP15" s="14" t="s">
        <v>1021</v>
      </c>
      <c r="LQ15" s="17" t="s">
        <v>1019</v>
      </c>
      <c r="LR15" s="14" t="s">
        <v>1021</v>
      </c>
      <c r="LS15" s="17" t="s">
        <v>1016</v>
      </c>
      <c r="LT15" s="14" t="s">
        <v>1020</v>
      </c>
      <c r="LU15" s="17" t="s">
        <v>1017</v>
      </c>
      <c r="LV15" s="14" t="s">
        <v>1016</v>
      </c>
      <c r="LW15" s="17" t="s">
        <v>1020</v>
      </c>
      <c r="LX15" s="14" t="s">
        <v>1021</v>
      </c>
      <c r="LY15" s="17" t="s">
        <v>1014</v>
      </c>
      <c r="LZ15" s="14" t="s">
        <v>1019</v>
      </c>
      <c r="MA15" s="17" t="s">
        <v>1018</v>
      </c>
      <c r="MB15" s="14" t="s">
        <v>1014</v>
      </c>
      <c r="MC15" s="17" t="s">
        <v>1020</v>
      </c>
      <c r="MD15" s="14" t="s">
        <v>1021</v>
      </c>
      <c r="ME15" s="17" t="s">
        <v>1021</v>
      </c>
      <c r="MF15" s="14" t="s">
        <v>1017</v>
      </c>
      <c r="MG15" s="17" t="s">
        <v>1021</v>
      </c>
      <c r="MH15" s="14" t="s">
        <v>1016</v>
      </c>
      <c r="MI15" s="17" t="s">
        <v>1019</v>
      </c>
      <c r="MJ15" s="14" t="s">
        <v>1014</v>
      </c>
      <c r="MK15" s="17" t="s">
        <v>1021</v>
      </c>
      <c r="ML15" s="14" t="s">
        <v>1021</v>
      </c>
      <c r="MM15" s="17" t="s">
        <v>1020</v>
      </c>
      <c r="MN15" s="14" t="s">
        <v>1017</v>
      </c>
      <c r="MO15" s="17" t="s">
        <v>1021</v>
      </c>
      <c r="MP15" s="14" t="s">
        <v>1021</v>
      </c>
      <c r="MQ15" s="17" t="s">
        <v>1018</v>
      </c>
      <c r="MR15" s="14" t="s">
        <v>1021</v>
      </c>
      <c r="MS15" s="17" t="s">
        <v>1016</v>
      </c>
      <c r="MT15" s="14" t="s">
        <v>1019</v>
      </c>
      <c r="MU15" s="17" t="s">
        <v>1018</v>
      </c>
      <c r="MV15" s="14" t="s">
        <v>1017</v>
      </c>
      <c r="MW15" s="17" t="s">
        <v>1016</v>
      </c>
      <c r="MX15" s="14" t="s">
        <v>1019</v>
      </c>
      <c r="MY15" s="17" t="s">
        <v>1019</v>
      </c>
      <c r="MZ15" s="14" t="s">
        <v>1016</v>
      </c>
      <c r="NA15" s="17" t="s">
        <v>1017</v>
      </c>
      <c r="NB15" s="14" t="s">
        <v>1017</v>
      </c>
      <c r="NC15" s="17" t="s">
        <v>1020</v>
      </c>
      <c r="ND15" s="14" t="s">
        <v>1017</v>
      </c>
      <c r="NE15" s="17" t="s">
        <v>1016</v>
      </c>
      <c r="NF15" s="14" t="s">
        <v>1021</v>
      </c>
      <c r="NG15" s="17" t="s">
        <v>1016</v>
      </c>
      <c r="NH15" s="14" t="s">
        <v>1016</v>
      </c>
      <c r="NI15" s="17" t="s">
        <v>1018</v>
      </c>
      <c r="NJ15" s="14" t="s">
        <v>1014</v>
      </c>
      <c r="NK15" s="17" t="s">
        <v>1021</v>
      </c>
      <c r="NL15" s="14" t="s">
        <v>1015</v>
      </c>
      <c r="NM15" s="17" t="s">
        <v>1014</v>
      </c>
      <c r="NN15" s="14" t="s">
        <v>1019</v>
      </c>
      <c r="NO15" s="17" t="s">
        <v>1018</v>
      </c>
      <c r="NP15" s="14" t="s">
        <v>1019</v>
      </c>
      <c r="NQ15" s="17" t="s">
        <v>1015</v>
      </c>
      <c r="NR15" s="14" t="s">
        <v>1021</v>
      </c>
      <c r="NS15" s="17" t="s">
        <v>1016</v>
      </c>
      <c r="NT15" s="14" t="s">
        <v>1021</v>
      </c>
      <c r="NU15" s="17" t="s">
        <v>1018</v>
      </c>
      <c r="NV15" s="14" t="s">
        <v>1021</v>
      </c>
      <c r="NW15" s="17" t="s">
        <v>1017</v>
      </c>
      <c r="NX15" s="14" t="s">
        <v>1016</v>
      </c>
      <c r="NY15" s="17" t="s">
        <v>1019</v>
      </c>
      <c r="NZ15" s="14" t="s">
        <v>1017</v>
      </c>
      <c r="OA15" s="17" t="s">
        <v>1017</v>
      </c>
      <c r="OB15" s="14" t="s">
        <v>1017</v>
      </c>
      <c r="OC15" s="17" t="s">
        <v>1015</v>
      </c>
      <c r="OD15" s="14" t="s">
        <v>1016</v>
      </c>
      <c r="OE15" s="17" t="s">
        <v>1015</v>
      </c>
      <c r="OF15" s="14" t="s">
        <v>1015</v>
      </c>
      <c r="OG15" s="17" t="s">
        <v>1017</v>
      </c>
      <c r="OH15" s="14" t="s">
        <v>1015</v>
      </c>
      <c r="OI15" s="17" t="s">
        <v>1014</v>
      </c>
      <c r="OJ15" s="14" t="s">
        <v>1014</v>
      </c>
      <c r="OK15" s="17" t="s">
        <v>1020</v>
      </c>
      <c r="OL15" s="14" t="s">
        <v>1014</v>
      </c>
      <c r="OM15" s="17" t="s">
        <v>1014</v>
      </c>
      <c r="ON15" s="14" t="s">
        <v>1018</v>
      </c>
      <c r="OO15" s="17" t="s">
        <v>1015</v>
      </c>
      <c r="OP15" s="14" t="s">
        <v>1021</v>
      </c>
      <c r="OQ15" s="17" t="s">
        <v>1020</v>
      </c>
      <c r="OR15" s="14" t="s">
        <v>1015</v>
      </c>
      <c r="OS15" s="17" t="s">
        <v>1014</v>
      </c>
      <c r="OT15" s="14" t="s">
        <v>1021</v>
      </c>
      <c r="OU15" s="17" t="s">
        <v>1017</v>
      </c>
      <c r="OV15" s="14" t="s">
        <v>1016</v>
      </c>
      <c r="OW15" s="17" t="s">
        <v>1014</v>
      </c>
      <c r="OX15" s="14" t="s">
        <v>1017</v>
      </c>
      <c r="OY15" s="17" t="s">
        <v>1017</v>
      </c>
      <c r="OZ15" s="14" t="s">
        <v>1014</v>
      </c>
      <c r="PA15" s="17" t="s">
        <v>1014</v>
      </c>
      <c r="PB15" s="14" t="s">
        <v>1018</v>
      </c>
      <c r="PC15" s="17" t="s">
        <v>1014</v>
      </c>
      <c r="PD15" s="14" t="s">
        <v>1014</v>
      </c>
      <c r="PE15" s="17" t="s">
        <v>1019</v>
      </c>
      <c r="PF15" s="14" t="s">
        <v>1019</v>
      </c>
      <c r="PG15" s="17" t="s">
        <v>1014</v>
      </c>
      <c r="PH15" s="14" t="s">
        <v>1018</v>
      </c>
      <c r="PI15" s="17" t="s">
        <v>1015</v>
      </c>
      <c r="PJ15" s="14" t="s">
        <v>1020</v>
      </c>
      <c r="PK15" s="17" t="s">
        <v>1020</v>
      </c>
      <c r="PL15" s="14" t="s">
        <v>1015</v>
      </c>
      <c r="PM15" s="17" t="s">
        <v>1021</v>
      </c>
      <c r="PN15" s="14" t="s">
        <v>1021</v>
      </c>
      <c r="PO15" s="17" t="s">
        <v>1019</v>
      </c>
      <c r="PP15" s="14" t="s">
        <v>1016</v>
      </c>
      <c r="PQ15" s="17" t="s">
        <v>1019</v>
      </c>
      <c r="PR15" s="14" t="s">
        <v>1018</v>
      </c>
      <c r="PS15" s="17" t="s">
        <v>1020</v>
      </c>
      <c r="PT15" s="14" t="s">
        <v>1016</v>
      </c>
      <c r="PU15" s="17" t="s">
        <v>1018</v>
      </c>
      <c r="PV15" s="14" t="s">
        <v>1017</v>
      </c>
      <c r="PW15" s="17" t="s">
        <v>1021</v>
      </c>
      <c r="PX15" s="14" t="s">
        <v>1021</v>
      </c>
      <c r="PY15" s="17" t="s">
        <v>1019</v>
      </c>
      <c r="PZ15" s="14" t="s">
        <v>1020</v>
      </c>
      <c r="QA15" s="17" t="s">
        <v>1014</v>
      </c>
      <c r="QB15" s="14" t="s">
        <v>1020</v>
      </c>
      <c r="QC15" s="17" t="s">
        <v>1018</v>
      </c>
      <c r="QD15" s="14" t="s">
        <v>1018</v>
      </c>
      <c r="QE15" s="17" t="s">
        <v>1018</v>
      </c>
      <c r="QF15" s="14" t="s">
        <v>1017</v>
      </c>
      <c r="QG15" s="17" t="s">
        <v>1014</v>
      </c>
      <c r="QH15" s="14" t="s">
        <v>1014</v>
      </c>
      <c r="QI15" s="17" t="s">
        <v>1015</v>
      </c>
      <c r="QJ15" s="14" t="s">
        <v>1020</v>
      </c>
      <c r="QK15" s="17" t="s">
        <v>1017</v>
      </c>
      <c r="QL15" s="14" t="s">
        <v>1018</v>
      </c>
      <c r="QM15" s="17" t="s">
        <v>1016</v>
      </c>
      <c r="QN15" s="14" t="s">
        <v>1020</v>
      </c>
      <c r="QO15" s="17" t="s">
        <v>1014</v>
      </c>
      <c r="QP15" s="14" t="s">
        <v>1021</v>
      </c>
      <c r="QQ15" s="17" t="s">
        <v>1021</v>
      </c>
      <c r="QR15" s="14" t="s">
        <v>1017</v>
      </c>
      <c r="QS15" s="17" t="s">
        <v>1019</v>
      </c>
      <c r="QT15" s="14" t="s">
        <v>1014</v>
      </c>
      <c r="QU15" s="17" t="s">
        <v>1020</v>
      </c>
      <c r="QV15" s="14" t="s">
        <v>1019</v>
      </c>
      <c r="QW15" s="17" t="s">
        <v>1014</v>
      </c>
      <c r="QX15" s="14" t="s">
        <v>1015</v>
      </c>
      <c r="QY15" s="17" t="s">
        <v>1016</v>
      </c>
      <c r="QZ15" s="14" t="s">
        <v>1014</v>
      </c>
      <c r="RA15" s="17" t="s">
        <v>1021</v>
      </c>
      <c r="RB15" s="14" t="s">
        <v>1015</v>
      </c>
      <c r="RC15" s="17" t="s">
        <v>1018</v>
      </c>
      <c r="RD15" s="14" t="s">
        <v>1020</v>
      </c>
      <c r="RE15" s="17" t="s">
        <v>1019</v>
      </c>
      <c r="RF15" s="14" t="s">
        <v>1015</v>
      </c>
      <c r="RG15" s="17" t="s">
        <v>1021</v>
      </c>
      <c r="RH15" s="14" t="s">
        <v>1018</v>
      </c>
      <c r="RI15" s="17" t="s">
        <v>1016</v>
      </c>
      <c r="RJ15" s="14" t="s">
        <v>1018</v>
      </c>
      <c r="RK15" s="17" t="s">
        <v>1015</v>
      </c>
      <c r="RL15" s="14" t="s">
        <v>1020</v>
      </c>
      <c r="RM15" s="17" t="s">
        <v>1016</v>
      </c>
      <c r="RN15" s="14" t="s">
        <v>1014</v>
      </c>
      <c r="RO15" s="17" t="s">
        <v>1020</v>
      </c>
      <c r="RP15" s="14" t="s">
        <v>1018</v>
      </c>
      <c r="RQ15" s="17" t="s">
        <v>1021</v>
      </c>
      <c r="RR15" s="14" t="s">
        <v>1020</v>
      </c>
      <c r="RS15" s="17" t="s">
        <v>1016</v>
      </c>
      <c r="RT15" s="14" t="s">
        <v>1018</v>
      </c>
      <c r="RU15" s="17" t="s">
        <v>1016</v>
      </c>
      <c r="RV15" s="14" t="s">
        <v>1014</v>
      </c>
      <c r="RW15" s="17" t="s">
        <v>1019</v>
      </c>
      <c r="RX15" s="14" t="s">
        <v>1017</v>
      </c>
      <c r="RY15" s="17" t="s">
        <v>1017</v>
      </c>
      <c r="RZ15" s="14" t="s">
        <v>1021</v>
      </c>
      <c r="SA15" s="17" t="s">
        <v>1016</v>
      </c>
      <c r="SB15" s="14" t="s">
        <v>1018</v>
      </c>
      <c r="SC15" s="17" t="s">
        <v>1018</v>
      </c>
      <c r="SD15" s="14" t="s">
        <v>1015</v>
      </c>
      <c r="SE15" s="17" t="s">
        <v>1018</v>
      </c>
      <c r="SF15" s="14" t="s">
        <v>1020</v>
      </c>
      <c r="SG15" s="17" t="s">
        <v>1019</v>
      </c>
      <c r="SH15" s="14" t="s">
        <v>1021</v>
      </c>
      <c r="SI15" s="17" t="s">
        <v>1020</v>
      </c>
      <c r="SJ15" s="14" t="s">
        <v>1020</v>
      </c>
      <c r="SK15" s="17" t="s">
        <v>1019</v>
      </c>
      <c r="SL15" s="14" t="s">
        <v>1015</v>
      </c>
      <c r="SM15" s="17" t="s">
        <v>1018</v>
      </c>
      <c r="SN15" s="14" t="s">
        <v>1015</v>
      </c>
      <c r="SO15" s="17" t="s">
        <v>1018</v>
      </c>
      <c r="SP15" s="14" t="s">
        <v>1016</v>
      </c>
      <c r="SQ15" s="17" t="s">
        <v>1016</v>
      </c>
      <c r="SR15" s="14" t="s">
        <v>1020</v>
      </c>
      <c r="SS15" s="17" t="s">
        <v>1020</v>
      </c>
      <c r="ST15" s="14" t="s">
        <v>1014</v>
      </c>
      <c r="SU15" s="17" t="s">
        <v>1019</v>
      </c>
      <c r="SV15" s="14" t="s">
        <v>1017</v>
      </c>
      <c r="SW15" s="17" t="s">
        <v>1016</v>
      </c>
      <c r="SX15" s="14" t="s">
        <v>1019</v>
      </c>
      <c r="SY15" s="17" t="s">
        <v>1020</v>
      </c>
      <c r="SZ15" s="14" t="s">
        <v>1015</v>
      </c>
      <c r="TA15" s="17" t="s">
        <v>1020</v>
      </c>
      <c r="TB15" s="14" t="s">
        <v>1015</v>
      </c>
      <c r="TC15" s="17" t="s">
        <v>1018</v>
      </c>
      <c r="TD15" s="14" t="s">
        <v>1017</v>
      </c>
      <c r="TE15" s="17" t="s">
        <v>1018</v>
      </c>
      <c r="TF15" s="14" t="s">
        <v>1020</v>
      </c>
      <c r="TG15" s="17" t="s">
        <v>1014</v>
      </c>
      <c r="TH15" s="14" t="s">
        <v>1020</v>
      </c>
      <c r="TI15" s="17" t="s">
        <v>1016</v>
      </c>
      <c r="TJ15" s="14" t="s">
        <v>1020</v>
      </c>
      <c r="TK15" s="17" t="s">
        <v>1016</v>
      </c>
      <c r="TL15" s="14" t="s">
        <v>1018</v>
      </c>
      <c r="TM15" s="17" t="s">
        <v>1014</v>
      </c>
      <c r="TN15" s="14" t="s">
        <v>1019</v>
      </c>
      <c r="TO15" s="17" t="s">
        <v>1018</v>
      </c>
      <c r="TP15" s="14" t="s">
        <v>1018</v>
      </c>
      <c r="TQ15" s="17" t="s">
        <v>1020</v>
      </c>
      <c r="TR15" s="14" t="s">
        <v>1021</v>
      </c>
      <c r="TS15" s="17" t="s">
        <v>1015</v>
      </c>
      <c r="TT15" s="14" t="s">
        <v>1018</v>
      </c>
      <c r="TU15" s="17" t="s">
        <v>1015</v>
      </c>
      <c r="TV15" s="14" t="s">
        <v>1015</v>
      </c>
      <c r="TW15" s="17" t="s">
        <v>1019</v>
      </c>
      <c r="TX15" s="14" t="s">
        <v>1019</v>
      </c>
      <c r="TY15" s="17" t="s">
        <v>1019</v>
      </c>
      <c r="TZ15" s="14" t="s">
        <v>1017</v>
      </c>
      <c r="UA15" s="17" t="s">
        <v>1015</v>
      </c>
      <c r="UB15" s="14" t="s">
        <v>1020</v>
      </c>
      <c r="UC15" s="17" t="s">
        <v>1015</v>
      </c>
      <c r="UD15" s="14" t="s">
        <v>1018</v>
      </c>
      <c r="UE15" s="17" t="s">
        <v>1019</v>
      </c>
      <c r="UF15" s="14" t="s">
        <v>1018</v>
      </c>
      <c r="UG15" s="17" t="s">
        <v>1019</v>
      </c>
      <c r="UH15" s="14" t="s">
        <v>1017</v>
      </c>
      <c r="UI15" s="17" t="s">
        <v>1020</v>
      </c>
      <c r="UJ15" s="14" t="s">
        <v>1016</v>
      </c>
      <c r="UK15" s="17" t="s">
        <v>1019</v>
      </c>
      <c r="UL15" s="14" t="s">
        <v>1021</v>
      </c>
      <c r="UM15" s="17" t="s">
        <v>1017</v>
      </c>
      <c r="UN15" s="14" t="s">
        <v>1021</v>
      </c>
      <c r="UO15" s="17" t="s">
        <v>1017</v>
      </c>
      <c r="UP15" s="14" t="s">
        <v>1020</v>
      </c>
      <c r="UQ15" s="17" t="s">
        <v>1015</v>
      </c>
      <c r="UR15" s="14" t="s">
        <v>1019</v>
      </c>
      <c r="US15" s="17" t="s">
        <v>1014</v>
      </c>
      <c r="UT15" s="14" t="s">
        <v>1018</v>
      </c>
      <c r="UU15" s="17" t="s">
        <v>1016</v>
      </c>
      <c r="UV15" s="14" t="s">
        <v>1018</v>
      </c>
      <c r="UW15" s="17" t="s">
        <v>1016</v>
      </c>
      <c r="UX15" s="14" t="s">
        <v>1017</v>
      </c>
      <c r="UY15" s="17" t="s">
        <v>1016</v>
      </c>
      <c r="UZ15" s="14" t="s">
        <v>1018</v>
      </c>
      <c r="VA15" s="17" t="s">
        <v>1015</v>
      </c>
      <c r="VB15" s="14" t="s">
        <v>1019</v>
      </c>
      <c r="VC15" s="17" t="s">
        <v>1016</v>
      </c>
      <c r="VD15" s="14" t="s">
        <v>1021</v>
      </c>
      <c r="VE15" s="17" t="s">
        <v>1017</v>
      </c>
      <c r="VF15" s="14" t="s">
        <v>1016</v>
      </c>
      <c r="VG15" s="17" t="s">
        <v>1015</v>
      </c>
      <c r="VH15" s="14" t="s">
        <v>1018</v>
      </c>
      <c r="VI15" s="17" t="s">
        <v>1016</v>
      </c>
      <c r="VJ15" s="14" t="s">
        <v>1019</v>
      </c>
      <c r="VK15" s="17" t="s">
        <v>1017</v>
      </c>
      <c r="VL15" s="14" t="s">
        <v>1021</v>
      </c>
      <c r="VM15" s="17" t="s">
        <v>1016</v>
      </c>
      <c r="VN15" s="14" t="s">
        <v>1018</v>
      </c>
      <c r="VO15" s="17" t="s">
        <v>1019</v>
      </c>
      <c r="VP15" s="14" t="s">
        <v>1018</v>
      </c>
      <c r="VQ15" s="17" t="s">
        <v>1016</v>
      </c>
      <c r="VR15" s="14" t="s">
        <v>1020</v>
      </c>
      <c r="VS15" s="17" t="s">
        <v>1021</v>
      </c>
      <c r="VT15" s="14" t="s">
        <v>1015</v>
      </c>
      <c r="VU15" s="17" t="s">
        <v>1014</v>
      </c>
      <c r="VV15" s="14" t="s">
        <v>1017</v>
      </c>
      <c r="VW15" s="17" t="s">
        <v>1021</v>
      </c>
      <c r="VX15" s="14" t="s">
        <v>1017</v>
      </c>
      <c r="VY15" s="17" t="s">
        <v>1019</v>
      </c>
      <c r="VZ15" s="14" t="s">
        <v>1020</v>
      </c>
      <c r="WA15" s="17" t="s">
        <v>1018</v>
      </c>
      <c r="WB15" s="14" t="s">
        <v>1017</v>
      </c>
      <c r="WC15" s="17" t="s">
        <v>1015</v>
      </c>
      <c r="WD15" s="14" t="s">
        <v>1019</v>
      </c>
      <c r="WE15" s="17" t="s">
        <v>1021</v>
      </c>
      <c r="WF15" s="14" t="s">
        <v>1019</v>
      </c>
      <c r="WG15" s="17" t="s">
        <v>1015</v>
      </c>
      <c r="WH15" s="14" t="s">
        <v>1018</v>
      </c>
      <c r="WI15" s="17" t="s">
        <v>1018</v>
      </c>
      <c r="WJ15" s="14" t="s">
        <v>1020</v>
      </c>
      <c r="WK15" s="17" t="s">
        <v>1017</v>
      </c>
      <c r="WL15" s="14" t="s">
        <v>1017</v>
      </c>
      <c r="WM15" s="17" t="s">
        <v>1018</v>
      </c>
      <c r="WN15" s="14" t="s">
        <v>1018</v>
      </c>
      <c r="WO15" s="17" t="s">
        <v>1014</v>
      </c>
      <c r="WP15" s="14" t="s">
        <v>1016</v>
      </c>
      <c r="WQ15" s="17" t="s">
        <v>1020</v>
      </c>
      <c r="WR15" s="14" t="s">
        <v>1020</v>
      </c>
      <c r="WS15" s="17" t="s">
        <v>1021</v>
      </c>
      <c r="WT15" s="14" t="s">
        <v>1016</v>
      </c>
      <c r="WU15" s="17" t="s">
        <v>1015</v>
      </c>
      <c r="WV15" s="14" t="s">
        <v>1014</v>
      </c>
      <c r="WW15" s="17" t="s">
        <v>1018</v>
      </c>
      <c r="WX15" s="14" t="s">
        <v>1016</v>
      </c>
      <c r="WY15" s="17" t="s">
        <v>1018</v>
      </c>
      <c r="WZ15" s="14" t="s">
        <v>1020</v>
      </c>
      <c r="XA15" s="17" t="s">
        <v>1014</v>
      </c>
      <c r="XB15" s="14" t="s">
        <v>1020</v>
      </c>
      <c r="XC15" s="17" t="s">
        <v>1019</v>
      </c>
      <c r="XD15" s="14" t="s">
        <v>1021</v>
      </c>
      <c r="XE15" s="17" t="s">
        <v>1021</v>
      </c>
      <c r="XF15" s="14" t="s">
        <v>1017</v>
      </c>
      <c r="XG15" s="17" t="s">
        <v>1016</v>
      </c>
      <c r="XH15" s="14" t="s">
        <v>1018</v>
      </c>
      <c r="XI15" s="17" t="s">
        <v>1017</v>
      </c>
      <c r="XJ15" s="14" t="s">
        <v>1015</v>
      </c>
      <c r="XK15" s="17" t="s">
        <v>1016</v>
      </c>
      <c r="XL15" s="14" t="s">
        <v>1014</v>
      </c>
      <c r="XM15" s="17" t="s">
        <v>1017</v>
      </c>
      <c r="XN15" s="14" t="s">
        <v>1020</v>
      </c>
      <c r="XO15" s="17" t="s">
        <v>1019</v>
      </c>
      <c r="XP15" s="14" t="s">
        <v>1018</v>
      </c>
      <c r="XQ15" s="17" t="s">
        <v>1020</v>
      </c>
      <c r="XR15" s="14" t="s">
        <v>1020</v>
      </c>
      <c r="XS15" s="17" t="s">
        <v>1015</v>
      </c>
      <c r="XT15" s="14" t="s">
        <v>1016</v>
      </c>
      <c r="XU15" s="17" t="s">
        <v>1019</v>
      </c>
      <c r="XV15" s="14" t="s">
        <v>1016</v>
      </c>
      <c r="XW15" s="17" t="s">
        <v>1017</v>
      </c>
      <c r="XX15" s="14" t="s">
        <v>1021</v>
      </c>
      <c r="XY15" s="17" t="s">
        <v>1017</v>
      </c>
      <c r="XZ15" s="14" t="s">
        <v>1016</v>
      </c>
      <c r="YA15" s="17" t="s">
        <v>1017</v>
      </c>
      <c r="YB15" s="14" t="s">
        <v>1020</v>
      </c>
      <c r="YC15" s="17" t="s">
        <v>1017</v>
      </c>
      <c r="YD15" s="14" t="s">
        <v>1017</v>
      </c>
      <c r="YE15" s="17" t="s">
        <v>1016</v>
      </c>
      <c r="YF15" s="14" t="s">
        <v>1020</v>
      </c>
      <c r="YG15" s="17" t="s">
        <v>1019</v>
      </c>
      <c r="YH15" s="14" t="s">
        <v>1014</v>
      </c>
      <c r="YI15" s="17" t="s">
        <v>1020</v>
      </c>
      <c r="YJ15" s="14" t="s">
        <v>1014</v>
      </c>
      <c r="YK15" s="17" t="s">
        <v>1016</v>
      </c>
      <c r="YL15" s="14" t="s">
        <v>1020</v>
      </c>
      <c r="YM15" s="17" t="s">
        <v>1015</v>
      </c>
      <c r="YN15" s="14" t="s">
        <v>1021</v>
      </c>
      <c r="YO15" s="17" t="s">
        <v>1015</v>
      </c>
      <c r="YP15" s="14" t="s">
        <v>1015</v>
      </c>
      <c r="YQ15" s="17" t="s">
        <v>1016</v>
      </c>
      <c r="YR15" s="14" t="s">
        <v>1018</v>
      </c>
      <c r="YS15" s="17" t="s">
        <v>1017</v>
      </c>
      <c r="YT15" s="14" t="s">
        <v>1021</v>
      </c>
      <c r="YU15" s="17" t="s">
        <v>1018</v>
      </c>
      <c r="YV15" s="14" t="s">
        <v>1015</v>
      </c>
      <c r="YW15" s="17" t="s">
        <v>1015</v>
      </c>
      <c r="YX15" s="14" t="s">
        <v>1018</v>
      </c>
      <c r="YY15" s="17" t="s">
        <v>1018</v>
      </c>
      <c r="YZ15" s="14" t="s">
        <v>1014</v>
      </c>
      <c r="ZA15" s="17" t="s">
        <v>1021</v>
      </c>
      <c r="ZB15" s="14" t="s">
        <v>1017</v>
      </c>
      <c r="ZC15" s="17" t="s">
        <v>1018</v>
      </c>
      <c r="ZD15" s="14" t="s">
        <v>1018</v>
      </c>
      <c r="ZE15" s="17" t="s">
        <v>1014</v>
      </c>
      <c r="ZF15" s="14" t="s">
        <v>1021</v>
      </c>
      <c r="ZG15" s="17" t="s">
        <v>1021</v>
      </c>
      <c r="ZH15" s="14" t="s">
        <v>1019</v>
      </c>
      <c r="ZI15" s="17" t="s">
        <v>1020</v>
      </c>
      <c r="ZJ15" s="14" t="s">
        <v>1020</v>
      </c>
      <c r="ZK15" s="17" t="s">
        <v>1015</v>
      </c>
      <c r="ZL15" s="14" t="s">
        <v>1016</v>
      </c>
      <c r="ZM15" s="17" t="s">
        <v>1016</v>
      </c>
      <c r="ZN15" s="14" t="s">
        <v>1021</v>
      </c>
      <c r="ZO15" s="17" t="s">
        <v>1017</v>
      </c>
      <c r="ZP15" s="14" t="s">
        <v>1020</v>
      </c>
      <c r="ZQ15" s="17" t="s">
        <v>1019</v>
      </c>
      <c r="ZR15" s="14" t="s">
        <v>1017</v>
      </c>
      <c r="ZS15" s="17" t="s">
        <v>1016</v>
      </c>
      <c r="ZT15" s="14" t="s">
        <v>1018</v>
      </c>
      <c r="ZU15" s="17" t="s">
        <v>1018</v>
      </c>
      <c r="ZV15" s="14" t="s">
        <v>1020</v>
      </c>
      <c r="ZW15" s="17" t="s">
        <v>1016</v>
      </c>
      <c r="ZX15" s="14" t="s">
        <v>1016</v>
      </c>
      <c r="ZY15" s="17" t="s">
        <v>1017</v>
      </c>
      <c r="ZZ15" s="14" t="s">
        <v>1015</v>
      </c>
      <c r="AAA15" s="17" t="s">
        <v>1019</v>
      </c>
      <c r="AAB15" s="14" t="s">
        <v>1020</v>
      </c>
      <c r="AAC15" s="17" t="s">
        <v>1015</v>
      </c>
      <c r="AAD15" s="14" t="s">
        <v>1016</v>
      </c>
      <c r="AAE15" s="17" t="s">
        <v>1020</v>
      </c>
      <c r="AAF15" s="14" t="s">
        <v>1021</v>
      </c>
      <c r="AAG15" s="17" t="s">
        <v>1019</v>
      </c>
      <c r="AAH15" s="14" t="s">
        <v>1020</v>
      </c>
      <c r="AAI15" s="17" t="s">
        <v>1015</v>
      </c>
      <c r="AAJ15" s="14" t="s">
        <v>1016</v>
      </c>
      <c r="AAK15" s="17" t="s">
        <v>1015</v>
      </c>
      <c r="AAL15" s="14" t="s">
        <v>1018</v>
      </c>
      <c r="AAM15" s="17" t="s">
        <v>1018</v>
      </c>
      <c r="AAN15" s="14" t="s">
        <v>1015</v>
      </c>
      <c r="AAO15" s="17" t="s">
        <v>1018</v>
      </c>
      <c r="AAP15" s="14" t="s">
        <v>1018</v>
      </c>
      <c r="AAQ15" s="17" t="s">
        <v>1015</v>
      </c>
      <c r="AAR15" s="14" t="s">
        <v>1017</v>
      </c>
      <c r="AAS15" s="17" t="s">
        <v>1015</v>
      </c>
      <c r="AAT15" s="14" t="s">
        <v>1015</v>
      </c>
      <c r="AAU15" s="17" t="s">
        <v>1017</v>
      </c>
      <c r="AAV15" s="14" t="s">
        <v>1019</v>
      </c>
      <c r="AAW15" s="17" t="s">
        <v>1015</v>
      </c>
      <c r="AAX15" s="14" t="s">
        <v>1015</v>
      </c>
      <c r="AAY15" s="17" t="s">
        <v>1016</v>
      </c>
      <c r="AAZ15" s="14" t="s">
        <v>1017</v>
      </c>
      <c r="ABA15" s="17" t="s">
        <v>1014</v>
      </c>
      <c r="ABB15" s="14" t="s">
        <v>1016</v>
      </c>
      <c r="ABC15" s="17" t="s">
        <v>1014</v>
      </c>
      <c r="ABD15" s="14" t="s">
        <v>1017</v>
      </c>
      <c r="ABE15" s="17" t="s">
        <v>1015</v>
      </c>
      <c r="ABF15" s="14" t="s">
        <v>1021</v>
      </c>
      <c r="ABG15" s="17" t="s">
        <v>1018</v>
      </c>
      <c r="ABH15" s="14" t="s">
        <v>1017</v>
      </c>
      <c r="ABI15" s="17" t="s">
        <v>1018</v>
      </c>
      <c r="ABJ15" s="14" t="s">
        <v>1017</v>
      </c>
      <c r="ABK15" s="17" t="s">
        <v>1018</v>
      </c>
      <c r="ABL15" s="14" t="s">
        <v>1017</v>
      </c>
      <c r="ABM15" s="17" t="s">
        <v>1017</v>
      </c>
      <c r="ABN15" s="14" t="s">
        <v>1015</v>
      </c>
      <c r="ABO15" s="17" t="s">
        <v>1020</v>
      </c>
      <c r="ABP15" s="14" t="s">
        <v>1014</v>
      </c>
      <c r="ABQ15" s="17" t="s">
        <v>1021</v>
      </c>
      <c r="ABR15" s="14" t="s">
        <v>1019</v>
      </c>
      <c r="ABS15" s="17" t="s">
        <v>1014</v>
      </c>
      <c r="ABT15" s="14" t="s">
        <v>1019</v>
      </c>
      <c r="ABU15" s="17" t="s">
        <v>1021</v>
      </c>
      <c r="ABV15" s="14" t="s">
        <v>1019</v>
      </c>
      <c r="ABW15" s="17" t="s">
        <v>1015</v>
      </c>
      <c r="ABX15" s="14" t="s">
        <v>1017</v>
      </c>
      <c r="ABY15" s="17" t="s">
        <v>1017</v>
      </c>
      <c r="ABZ15" s="14" t="s">
        <v>1020</v>
      </c>
      <c r="ACA15" s="17" t="s">
        <v>1020</v>
      </c>
      <c r="ACB15" s="14" t="s">
        <v>1019</v>
      </c>
      <c r="ACC15" s="17" t="s">
        <v>1016</v>
      </c>
      <c r="ACD15" s="14" t="s">
        <v>1014</v>
      </c>
      <c r="ACE15" s="17" t="s">
        <v>1017</v>
      </c>
      <c r="ACF15" s="14" t="s">
        <v>1021</v>
      </c>
      <c r="ACG15" s="17" t="s">
        <v>1018</v>
      </c>
      <c r="ACH15" s="14" t="s">
        <v>1020</v>
      </c>
      <c r="ACI15" s="17" t="s">
        <v>1021</v>
      </c>
      <c r="ACJ15" s="14" t="s">
        <v>1019</v>
      </c>
      <c r="ACK15" s="17" t="s">
        <v>1014</v>
      </c>
      <c r="ACL15" s="14" t="s">
        <v>1017</v>
      </c>
      <c r="ACM15" s="17" t="s">
        <v>1019</v>
      </c>
      <c r="ACN15" s="14" t="s">
        <v>1016</v>
      </c>
      <c r="ACO15" s="17" t="s">
        <v>1020</v>
      </c>
      <c r="ACP15" s="14" t="s">
        <v>1017</v>
      </c>
      <c r="ACQ15" s="17" t="s">
        <v>1020</v>
      </c>
      <c r="ACR15" s="14" t="s">
        <v>1021</v>
      </c>
      <c r="ACS15" s="17" t="s">
        <v>1021</v>
      </c>
      <c r="ACT15" s="14" t="s">
        <v>1016</v>
      </c>
      <c r="ACU15" s="17" t="s">
        <v>1018</v>
      </c>
      <c r="ACV15" s="14" t="s">
        <v>1015</v>
      </c>
      <c r="ACW15" s="17" t="s">
        <v>1015</v>
      </c>
      <c r="ACX15" s="14" t="s">
        <v>1021</v>
      </c>
      <c r="ACY15" s="17" t="s">
        <v>1021</v>
      </c>
      <c r="ACZ15" s="14" t="s">
        <v>1014</v>
      </c>
      <c r="ADA15" s="17" t="s">
        <v>1016</v>
      </c>
      <c r="ADB15" s="14" t="s">
        <v>1019</v>
      </c>
      <c r="ADC15" s="17" t="s">
        <v>1015</v>
      </c>
      <c r="ADD15" s="14" t="s">
        <v>1016</v>
      </c>
      <c r="ADE15" s="17" t="s">
        <v>1019</v>
      </c>
      <c r="ADF15" s="14" t="s">
        <v>1019</v>
      </c>
      <c r="ADG15" s="17" t="s">
        <v>1019</v>
      </c>
      <c r="ADH15" s="14" t="s">
        <v>1020</v>
      </c>
      <c r="ADI15" s="17" t="s">
        <v>1015</v>
      </c>
      <c r="ADJ15" s="14" t="s">
        <v>1018</v>
      </c>
      <c r="ADK15" s="17" t="s">
        <v>1014</v>
      </c>
      <c r="ADL15" s="14" t="s">
        <v>1019</v>
      </c>
      <c r="ADM15" s="17" t="s">
        <v>1015</v>
      </c>
      <c r="ADN15" s="14" t="s">
        <v>1015</v>
      </c>
      <c r="ADO15" s="17" t="s">
        <v>1021</v>
      </c>
      <c r="ADP15" s="14" t="s">
        <v>1015</v>
      </c>
      <c r="ADQ15" s="17" t="s">
        <v>1016</v>
      </c>
      <c r="ADR15" s="14" t="s">
        <v>1021</v>
      </c>
      <c r="ADS15" s="17" t="s">
        <v>1018</v>
      </c>
      <c r="ADT15" s="14" t="s">
        <v>1017</v>
      </c>
      <c r="ADU15" s="17" t="s">
        <v>1015</v>
      </c>
      <c r="ADV15" s="14" t="s">
        <v>1019</v>
      </c>
      <c r="ADW15" s="17" t="s">
        <v>1018</v>
      </c>
      <c r="ADX15" s="14" t="s">
        <v>1018</v>
      </c>
      <c r="ADY15" s="17" t="s">
        <v>1017</v>
      </c>
      <c r="ADZ15" s="14" t="s">
        <v>1020</v>
      </c>
      <c r="AEA15" s="17" t="s">
        <v>1020</v>
      </c>
      <c r="AEB15" s="14" t="s">
        <v>1018</v>
      </c>
      <c r="AEC15" s="17" t="s">
        <v>1019</v>
      </c>
      <c r="AED15" s="14" t="s">
        <v>1016</v>
      </c>
      <c r="AEE15" s="17" t="s">
        <v>1017</v>
      </c>
      <c r="AEF15" s="14" t="s">
        <v>1017</v>
      </c>
      <c r="AEG15" s="17" t="s">
        <v>1016</v>
      </c>
      <c r="AEH15" s="14" t="s">
        <v>1014</v>
      </c>
      <c r="AEI15" s="17" t="s">
        <v>1020</v>
      </c>
      <c r="AEJ15" s="14" t="s">
        <v>1017</v>
      </c>
      <c r="AEK15" s="17" t="s">
        <v>1016</v>
      </c>
      <c r="AEL15" s="14" t="s">
        <v>1020</v>
      </c>
      <c r="AEM15" s="17" t="s">
        <v>1018</v>
      </c>
      <c r="AEN15" s="14" t="s">
        <v>1021</v>
      </c>
      <c r="AEO15" s="17" t="s">
        <v>1018</v>
      </c>
      <c r="AEP15" s="14" t="s">
        <v>1021</v>
      </c>
      <c r="AEQ15" s="17" t="s">
        <v>1017</v>
      </c>
      <c r="AER15" s="14" t="s">
        <v>1019</v>
      </c>
      <c r="AES15" s="17" t="s">
        <v>1016</v>
      </c>
      <c r="AET15" s="14" t="s">
        <v>1019</v>
      </c>
      <c r="AEU15" s="17" t="s">
        <v>1016</v>
      </c>
      <c r="AEV15" s="14" t="s">
        <v>1015</v>
      </c>
      <c r="AEW15" s="17" t="s">
        <v>1017</v>
      </c>
      <c r="AEX15" s="14" t="s">
        <v>1016</v>
      </c>
      <c r="AEY15" s="17" t="s">
        <v>1014</v>
      </c>
      <c r="AEZ15" s="14" t="s">
        <v>1014</v>
      </c>
      <c r="AFA15" s="17" t="s">
        <v>1020</v>
      </c>
      <c r="AFB15" s="14" t="s">
        <v>1017</v>
      </c>
      <c r="AFC15" s="17" t="s">
        <v>1014</v>
      </c>
      <c r="AFD15" s="14" t="s">
        <v>1020</v>
      </c>
      <c r="AFE15" s="17" t="s">
        <v>1015</v>
      </c>
      <c r="AFF15" s="14" t="s">
        <v>1017</v>
      </c>
      <c r="AFG15" s="17" t="s">
        <v>1017</v>
      </c>
      <c r="AFH15" s="14" t="s">
        <v>1014</v>
      </c>
      <c r="AFI15" s="17" t="s">
        <v>1018</v>
      </c>
      <c r="AFJ15" s="14" t="s">
        <v>1021</v>
      </c>
      <c r="AFK15" s="17" t="s">
        <v>1015</v>
      </c>
      <c r="AFL15" s="14" t="s">
        <v>1019</v>
      </c>
      <c r="AFM15" s="17" t="s">
        <v>1015</v>
      </c>
      <c r="AFN15" s="14" t="s">
        <v>1019</v>
      </c>
      <c r="AFO15" s="17" t="s">
        <v>1020</v>
      </c>
      <c r="AFP15" s="14" t="s">
        <v>1016</v>
      </c>
      <c r="AFQ15" s="17" t="s">
        <v>1019</v>
      </c>
      <c r="AFR15" s="14" t="s">
        <v>1020</v>
      </c>
      <c r="AFS15" s="17" t="s">
        <v>1016</v>
      </c>
      <c r="AFT15" s="14" t="s">
        <v>1015</v>
      </c>
      <c r="AFU15" s="17" t="s">
        <v>1014</v>
      </c>
      <c r="AFV15" s="14" t="s">
        <v>1018</v>
      </c>
      <c r="AFW15" s="17" t="s">
        <v>1019</v>
      </c>
      <c r="AFX15" s="14" t="s">
        <v>1021</v>
      </c>
      <c r="AFY15" s="17" t="s">
        <v>1018</v>
      </c>
      <c r="AFZ15" s="14" t="s">
        <v>1020</v>
      </c>
      <c r="AGA15" s="17" t="s">
        <v>1020</v>
      </c>
      <c r="AGB15" s="14" t="s">
        <v>1014</v>
      </c>
      <c r="AGC15" s="17" t="s">
        <v>1021</v>
      </c>
      <c r="AGD15" s="14" t="s">
        <v>1017</v>
      </c>
      <c r="AGE15" s="17" t="s">
        <v>1020</v>
      </c>
      <c r="AGF15" s="14" t="s">
        <v>1015</v>
      </c>
      <c r="AGG15" s="17" t="s">
        <v>1021</v>
      </c>
      <c r="AGH15" s="14" t="s">
        <v>1017</v>
      </c>
      <c r="AGI15" s="17" t="s">
        <v>1014</v>
      </c>
      <c r="AGJ15" s="14" t="s">
        <v>1014</v>
      </c>
      <c r="AGK15" s="17" t="s">
        <v>1016</v>
      </c>
      <c r="AGL15" s="14" t="s">
        <v>1020</v>
      </c>
      <c r="AGM15" s="17" t="s">
        <v>1018</v>
      </c>
      <c r="AGN15" s="14" t="s">
        <v>1015</v>
      </c>
      <c r="AGO15" s="17" t="s">
        <v>1017</v>
      </c>
      <c r="AGP15" s="14" t="s">
        <v>1020</v>
      </c>
      <c r="AGQ15" s="17" t="s">
        <v>1021</v>
      </c>
      <c r="AGR15" s="14" t="s">
        <v>1018</v>
      </c>
      <c r="AGS15" s="17" t="s">
        <v>1020</v>
      </c>
      <c r="AGT15" s="14" t="s">
        <v>1020</v>
      </c>
      <c r="AGU15" s="17" t="s">
        <v>1020</v>
      </c>
      <c r="AGV15" s="14" t="s">
        <v>1016</v>
      </c>
      <c r="AGW15" s="17" t="s">
        <v>1016</v>
      </c>
      <c r="AGX15" s="14" t="s">
        <v>1019</v>
      </c>
      <c r="AGY15" s="17" t="s">
        <v>1015</v>
      </c>
      <c r="AGZ15" s="14" t="s">
        <v>1018</v>
      </c>
      <c r="AHA15" s="17" t="s">
        <v>1015</v>
      </c>
      <c r="AHB15" s="14" t="s">
        <v>1015</v>
      </c>
      <c r="AHC15" s="17" t="s">
        <v>1020</v>
      </c>
      <c r="AHD15" s="14" t="s">
        <v>1014</v>
      </c>
      <c r="AHE15" s="17" t="s">
        <v>1015</v>
      </c>
      <c r="AHF15" s="14" t="s">
        <v>1017</v>
      </c>
      <c r="AHG15" s="17" t="s">
        <v>1016</v>
      </c>
      <c r="AHH15" s="14" t="s">
        <v>1021</v>
      </c>
      <c r="AHI15" s="17" t="s">
        <v>1015</v>
      </c>
      <c r="AHJ15" s="14" t="s">
        <v>1018</v>
      </c>
      <c r="AHK15" s="17" t="s">
        <v>1017</v>
      </c>
      <c r="AHL15" s="14" t="s">
        <v>1021</v>
      </c>
      <c r="AHM15" s="17" t="s">
        <v>1020</v>
      </c>
      <c r="AHN15" s="14" t="s">
        <v>1020</v>
      </c>
      <c r="AHO15" s="17" t="s">
        <v>1015</v>
      </c>
      <c r="AHP15" s="14" t="s">
        <v>1020</v>
      </c>
      <c r="AHQ15" s="17" t="s">
        <v>1018</v>
      </c>
      <c r="AHR15" s="14" t="s">
        <v>1016</v>
      </c>
      <c r="AHS15" s="17" t="s">
        <v>1018</v>
      </c>
      <c r="AHT15" s="14" t="s">
        <v>1016</v>
      </c>
      <c r="AHU15" s="17" t="s">
        <v>1015</v>
      </c>
      <c r="AHV15" s="14" t="s">
        <v>1021</v>
      </c>
      <c r="AHW15" s="17" t="s">
        <v>1019</v>
      </c>
      <c r="AHX15" s="14" t="s">
        <v>1020</v>
      </c>
      <c r="AHY15" s="17" t="s">
        <v>1021</v>
      </c>
      <c r="AHZ15" s="14" t="s">
        <v>1019</v>
      </c>
      <c r="AIA15" s="17" t="s">
        <v>1014</v>
      </c>
      <c r="AIB15" s="14" t="s">
        <v>1019</v>
      </c>
      <c r="AIC15" s="17" t="s">
        <v>1021</v>
      </c>
      <c r="AID15" s="14" t="s">
        <v>1021</v>
      </c>
      <c r="AIE15" s="17" t="s">
        <v>1018</v>
      </c>
      <c r="AIF15" s="14" t="s">
        <v>1019</v>
      </c>
      <c r="AIG15" s="17" t="s">
        <v>1014</v>
      </c>
      <c r="AIH15" s="14" t="s">
        <v>1021</v>
      </c>
      <c r="AII15" s="17" t="s">
        <v>1017</v>
      </c>
      <c r="AIJ15" s="14" t="s">
        <v>1018</v>
      </c>
      <c r="AIK15" s="17" t="s">
        <v>1020</v>
      </c>
      <c r="AIL15" s="14" t="s">
        <v>1021</v>
      </c>
      <c r="AIM15" s="17" t="s">
        <v>1017</v>
      </c>
      <c r="AIN15" s="14" t="s">
        <v>1020</v>
      </c>
      <c r="AIO15" s="17" t="s">
        <v>1014</v>
      </c>
      <c r="AIP15" s="14" t="s">
        <v>1016</v>
      </c>
      <c r="AIQ15" s="17" t="s">
        <v>1016</v>
      </c>
      <c r="AIR15" s="14" t="s">
        <v>1015</v>
      </c>
      <c r="AIS15" s="17" t="s">
        <v>1018</v>
      </c>
      <c r="AIT15" s="14" t="s">
        <v>1018</v>
      </c>
      <c r="AIU15" s="17" t="s">
        <v>1016</v>
      </c>
      <c r="AIV15" s="14" t="s">
        <v>1015</v>
      </c>
      <c r="AIW15" s="17" t="s">
        <v>1017</v>
      </c>
      <c r="AIX15" s="14" t="s">
        <v>1020</v>
      </c>
      <c r="AIY15" s="17" t="s">
        <v>1014</v>
      </c>
      <c r="AIZ15" s="14" t="s">
        <v>1020</v>
      </c>
      <c r="AJA15" s="17" t="s">
        <v>1014</v>
      </c>
      <c r="AJB15" s="14" t="s">
        <v>1019</v>
      </c>
      <c r="AJC15" s="17" t="s">
        <v>1021</v>
      </c>
      <c r="AJD15" s="14" t="s">
        <v>1014</v>
      </c>
      <c r="AJE15" s="17" t="s">
        <v>1014</v>
      </c>
      <c r="AJF15" s="14" t="s">
        <v>1018</v>
      </c>
      <c r="AJG15" s="17" t="s">
        <v>1019</v>
      </c>
      <c r="AJH15" s="14" t="s">
        <v>1018</v>
      </c>
      <c r="AJI15" s="17" t="s">
        <v>1018</v>
      </c>
      <c r="AJJ15" s="14" t="s">
        <v>1018</v>
      </c>
      <c r="AJK15" s="17" t="s">
        <v>1020</v>
      </c>
      <c r="AJL15" s="14" t="s">
        <v>1015</v>
      </c>
      <c r="AJM15" s="17" t="s">
        <v>1019</v>
      </c>
      <c r="AJN15" s="14" t="s">
        <v>1020</v>
      </c>
      <c r="AJO15" s="17" t="s">
        <v>1019</v>
      </c>
      <c r="AJP15" s="14" t="s">
        <v>1020</v>
      </c>
      <c r="AJQ15" s="17" t="s">
        <v>1021</v>
      </c>
      <c r="AJR15" s="14" t="s">
        <v>1015</v>
      </c>
      <c r="AJS15" s="17" t="s">
        <v>1016</v>
      </c>
      <c r="AJT15" s="14" t="s">
        <v>1018</v>
      </c>
      <c r="AJU15" s="17" t="s">
        <v>1020</v>
      </c>
      <c r="AJV15" s="14" t="s">
        <v>1019</v>
      </c>
      <c r="AJW15" s="17" t="s">
        <v>1018</v>
      </c>
      <c r="AJX15" s="14" t="s">
        <v>1021</v>
      </c>
      <c r="AJY15" s="17" t="s">
        <v>1014</v>
      </c>
      <c r="AJZ15" s="14" t="s">
        <v>1021</v>
      </c>
      <c r="AKA15" s="17" t="s">
        <v>1020</v>
      </c>
      <c r="AKB15" s="14" t="s">
        <v>1018</v>
      </c>
      <c r="AKC15" s="17" t="s">
        <v>1020</v>
      </c>
      <c r="AKD15" s="14" t="s">
        <v>1017</v>
      </c>
      <c r="AKE15" s="17" t="s">
        <v>1014</v>
      </c>
      <c r="AKF15" s="14" t="s">
        <v>1019</v>
      </c>
      <c r="AKG15" s="17" t="s">
        <v>1015</v>
      </c>
      <c r="AKH15" s="14" t="s">
        <v>1020</v>
      </c>
      <c r="AKI15" s="17" t="s">
        <v>1014</v>
      </c>
      <c r="AKJ15" s="14" t="s">
        <v>1015</v>
      </c>
      <c r="AKK15" s="17" t="s">
        <v>1014</v>
      </c>
      <c r="AKL15" s="14" t="s">
        <v>1015</v>
      </c>
      <c r="AKM15" s="17" t="s">
        <v>1017</v>
      </c>
      <c r="AKN15" s="14" t="s">
        <v>1016</v>
      </c>
      <c r="AKO15" s="17" t="s">
        <v>1019</v>
      </c>
      <c r="AKP15" s="14" t="s">
        <v>1015</v>
      </c>
      <c r="AKQ15" s="17" t="s">
        <v>1016</v>
      </c>
      <c r="AKR15" s="14" t="s">
        <v>1015</v>
      </c>
      <c r="AKS15" s="17" t="s">
        <v>1019</v>
      </c>
      <c r="AKT15" s="14" t="s">
        <v>1020</v>
      </c>
      <c r="AKU15" s="17" t="s">
        <v>1014</v>
      </c>
      <c r="AKV15" s="14" t="s">
        <v>1016</v>
      </c>
      <c r="AKW15" s="17" t="s">
        <v>1018</v>
      </c>
      <c r="AKX15" s="14" t="s">
        <v>1019</v>
      </c>
      <c r="AKY15" s="17" t="s">
        <v>1020</v>
      </c>
      <c r="AKZ15" s="14" t="s">
        <v>1019</v>
      </c>
      <c r="ALA15" s="17" t="s">
        <v>1020</v>
      </c>
      <c r="ALB15" s="14" t="s">
        <v>1017</v>
      </c>
      <c r="ALC15" s="17" t="s">
        <v>1017</v>
      </c>
      <c r="ALD15" s="14" t="s">
        <v>1016</v>
      </c>
      <c r="ALE15" s="17" t="s">
        <v>1014</v>
      </c>
      <c r="ALF15" s="14" t="s">
        <v>1017</v>
      </c>
      <c r="ALG15" s="17" t="s">
        <v>1015</v>
      </c>
      <c r="ALH15" s="14" t="s">
        <v>1016</v>
      </c>
      <c r="ALI15" s="17" t="s">
        <v>1015</v>
      </c>
      <c r="ALJ15" s="14" t="s">
        <v>1019</v>
      </c>
      <c r="ALK15" s="17" t="s">
        <v>1020</v>
      </c>
      <c r="ALL15" s="14" t="s">
        <v>1020</v>
      </c>
      <c r="ALM15" s="17" t="s">
        <v>1021</v>
      </c>
      <c r="ALN15" s="14" t="s">
        <v>1014</v>
      </c>
      <c r="ALO15" s="17" t="s">
        <v>1014</v>
      </c>
      <c r="ALP15" s="14" t="s">
        <v>1014</v>
      </c>
      <c r="ALQ15" s="17" t="s">
        <v>1021</v>
      </c>
      <c r="ALR15" s="14" t="s">
        <v>1014</v>
      </c>
      <c r="ALS15" s="17" t="s">
        <v>1017</v>
      </c>
      <c r="ALT15" s="14" t="s">
        <v>1016</v>
      </c>
      <c r="ALU15" s="17" t="s">
        <v>1018</v>
      </c>
      <c r="ALV15" s="14" t="s">
        <v>1015</v>
      </c>
      <c r="ALW15" s="17" t="s">
        <v>1015</v>
      </c>
      <c r="ALX15" s="14" t="s">
        <v>1014</v>
      </c>
      <c r="ALY15" s="21" t="s">
        <v>1018</v>
      </c>
    </row>
    <row r="16" spans="1:1016" x14ac:dyDescent="0.25">
      <c r="A16" t="s">
        <v>24</v>
      </c>
      <c r="B16" s="1">
        <v>44942</v>
      </c>
      <c r="C16" t="s">
        <v>1013</v>
      </c>
      <c r="D16" t="s">
        <v>1019</v>
      </c>
      <c r="E16" t="s">
        <v>1028</v>
      </c>
      <c r="F16" t="s">
        <v>1034</v>
      </c>
      <c r="G16">
        <v>1</v>
      </c>
      <c r="H16">
        <v>8996</v>
      </c>
      <c r="I16">
        <v>5</v>
      </c>
      <c r="J16" t="s">
        <v>1038</v>
      </c>
      <c r="K16">
        <v>8546.1999999999989</v>
      </c>
      <c r="N16" s="14" t="s">
        <v>1022</v>
      </c>
      <c r="O16" s="17" t="s">
        <v>1023</v>
      </c>
      <c r="P16" s="14" t="s">
        <v>1022</v>
      </c>
      <c r="Q16" s="17" t="s">
        <v>1024</v>
      </c>
      <c r="R16" s="14" t="s">
        <v>1023</v>
      </c>
      <c r="S16" s="17" t="s">
        <v>1025</v>
      </c>
      <c r="T16" s="14" t="s">
        <v>1026</v>
      </c>
      <c r="U16" s="17" t="s">
        <v>1027</v>
      </c>
      <c r="V16" s="14" t="s">
        <v>1023</v>
      </c>
      <c r="W16" s="17" t="s">
        <v>1026</v>
      </c>
      <c r="X16" s="14" t="s">
        <v>1028</v>
      </c>
      <c r="Y16" s="17" t="s">
        <v>1029</v>
      </c>
      <c r="Z16" s="14" t="s">
        <v>1030</v>
      </c>
      <c r="AA16" s="17" t="s">
        <v>1022</v>
      </c>
      <c r="AB16" s="14" t="s">
        <v>1028</v>
      </c>
      <c r="AC16" s="17" t="s">
        <v>1029</v>
      </c>
      <c r="AD16" s="14" t="s">
        <v>1024</v>
      </c>
      <c r="AE16" s="17" t="s">
        <v>1026</v>
      </c>
      <c r="AF16" s="14" t="s">
        <v>1031</v>
      </c>
      <c r="AG16" s="17" t="s">
        <v>1025</v>
      </c>
      <c r="AH16" s="14" t="s">
        <v>1025</v>
      </c>
      <c r="AI16" s="17" t="s">
        <v>1023</v>
      </c>
      <c r="AJ16" s="14" t="s">
        <v>1026</v>
      </c>
      <c r="AK16" s="17" t="s">
        <v>1028</v>
      </c>
      <c r="AL16" s="14" t="s">
        <v>1031</v>
      </c>
      <c r="AM16" s="17" t="s">
        <v>1029</v>
      </c>
      <c r="AN16" s="14" t="s">
        <v>1023</v>
      </c>
      <c r="AO16" s="17" t="s">
        <v>1022</v>
      </c>
      <c r="AP16" s="14" t="s">
        <v>1025</v>
      </c>
      <c r="AQ16" s="17" t="s">
        <v>1027</v>
      </c>
      <c r="AR16" s="14" t="s">
        <v>1025</v>
      </c>
      <c r="AS16" s="17" t="s">
        <v>1027</v>
      </c>
      <c r="AT16" s="14" t="s">
        <v>1022</v>
      </c>
      <c r="AU16" s="17" t="s">
        <v>1031</v>
      </c>
      <c r="AV16" s="14" t="s">
        <v>1023</v>
      </c>
      <c r="AW16" s="17" t="s">
        <v>1027</v>
      </c>
      <c r="AX16" s="14" t="s">
        <v>1031</v>
      </c>
      <c r="AY16" s="17" t="s">
        <v>1022</v>
      </c>
      <c r="AZ16" s="14" t="s">
        <v>1028</v>
      </c>
      <c r="BA16" s="17" t="s">
        <v>1022</v>
      </c>
      <c r="BB16" s="14" t="s">
        <v>1030</v>
      </c>
      <c r="BC16" s="17" t="s">
        <v>1029</v>
      </c>
      <c r="BD16" s="14" t="s">
        <v>1024</v>
      </c>
      <c r="BE16" s="17" t="s">
        <v>1029</v>
      </c>
      <c r="BF16" s="14" t="s">
        <v>1022</v>
      </c>
      <c r="BG16" s="17" t="s">
        <v>1028</v>
      </c>
      <c r="BH16" s="14" t="s">
        <v>1023</v>
      </c>
      <c r="BI16" s="17" t="s">
        <v>1029</v>
      </c>
      <c r="BJ16" s="14" t="s">
        <v>1023</v>
      </c>
      <c r="BK16" s="17" t="s">
        <v>1029</v>
      </c>
      <c r="BL16" s="14" t="s">
        <v>1024</v>
      </c>
      <c r="BM16" s="17" t="s">
        <v>1025</v>
      </c>
      <c r="BN16" s="14" t="s">
        <v>1026</v>
      </c>
      <c r="BO16" s="17" t="s">
        <v>1022</v>
      </c>
      <c r="BP16" s="14" t="s">
        <v>1028</v>
      </c>
      <c r="BQ16" s="17" t="s">
        <v>1022</v>
      </c>
      <c r="BR16" s="14" t="s">
        <v>1024</v>
      </c>
      <c r="BS16" s="17" t="s">
        <v>1031</v>
      </c>
      <c r="BT16" s="14" t="s">
        <v>1029</v>
      </c>
      <c r="BU16" s="17" t="s">
        <v>1030</v>
      </c>
      <c r="BV16" s="14" t="s">
        <v>1025</v>
      </c>
      <c r="BW16" s="17" t="s">
        <v>1026</v>
      </c>
      <c r="BX16" s="14" t="s">
        <v>1029</v>
      </c>
      <c r="BY16" s="17" t="s">
        <v>1022</v>
      </c>
      <c r="BZ16" s="14" t="s">
        <v>1028</v>
      </c>
      <c r="CA16" s="17" t="s">
        <v>1024</v>
      </c>
      <c r="CB16" s="14" t="s">
        <v>1023</v>
      </c>
      <c r="CC16" s="17" t="s">
        <v>1031</v>
      </c>
      <c r="CD16" s="14" t="s">
        <v>1026</v>
      </c>
      <c r="CE16" s="17" t="s">
        <v>1027</v>
      </c>
      <c r="CF16" s="14" t="s">
        <v>1026</v>
      </c>
      <c r="CG16" s="17" t="s">
        <v>1028</v>
      </c>
      <c r="CH16" s="14" t="s">
        <v>1030</v>
      </c>
      <c r="CI16" s="17" t="s">
        <v>1024</v>
      </c>
      <c r="CJ16" s="14" t="s">
        <v>1026</v>
      </c>
      <c r="CK16" s="17" t="s">
        <v>1027</v>
      </c>
      <c r="CL16" s="14" t="s">
        <v>1027</v>
      </c>
      <c r="CM16" s="17" t="s">
        <v>1029</v>
      </c>
      <c r="CN16" s="14" t="s">
        <v>1024</v>
      </c>
      <c r="CO16" s="17" t="s">
        <v>1030</v>
      </c>
      <c r="CP16" s="14" t="s">
        <v>1022</v>
      </c>
      <c r="CQ16" s="17" t="s">
        <v>1025</v>
      </c>
      <c r="CR16" s="14" t="s">
        <v>1025</v>
      </c>
      <c r="CS16" s="17" t="s">
        <v>1023</v>
      </c>
      <c r="CT16" s="14" t="s">
        <v>1024</v>
      </c>
      <c r="CU16" s="17" t="s">
        <v>1023</v>
      </c>
      <c r="CV16" s="14" t="s">
        <v>1023</v>
      </c>
      <c r="CW16" s="17" t="s">
        <v>1031</v>
      </c>
      <c r="CX16" s="14" t="s">
        <v>1025</v>
      </c>
      <c r="CY16" s="17" t="s">
        <v>1022</v>
      </c>
      <c r="CZ16" s="14" t="s">
        <v>1026</v>
      </c>
      <c r="DA16" s="17" t="s">
        <v>1022</v>
      </c>
      <c r="DB16" s="14" t="s">
        <v>1030</v>
      </c>
      <c r="DC16" s="17" t="s">
        <v>1027</v>
      </c>
      <c r="DD16" s="14" t="s">
        <v>1026</v>
      </c>
      <c r="DE16" s="17" t="s">
        <v>1030</v>
      </c>
      <c r="DF16" s="14" t="s">
        <v>1026</v>
      </c>
      <c r="DG16" s="17" t="s">
        <v>1030</v>
      </c>
      <c r="DH16" s="14" t="s">
        <v>1031</v>
      </c>
      <c r="DI16" s="17" t="s">
        <v>1031</v>
      </c>
      <c r="DJ16" s="14" t="s">
        <v>1023</v>
      </c>
      <c r="DK16" s="17" t="s">
        <v>1024</v>
      </c>
      <c r="DL16" s="14" t="s">
        <v>1026</v>
      </c>
      <c r="DM16" s="17" t="s">
        <v>1028</v>
      </c>
      <c r="DN16" s="14" t="s">
        <v>1023</v>
      </c>
      <c r="DO16" s="17" t="s">
        <v>1022</v>
      </c>
      <c r="DP16" s="14" t="s">
        <v>1031</v>
      </c>
      <c r="DQ16" s="17" t="s">
        <v>1025</v>
      </c>
      <c r="DR16" s="14" t="s">
        <v>1031</v>
      </c>
      <c r="DS16" s="17" t="s">
        <v>1025</v>
      </c>
      <c r="DT16" s="14" t="s">
        <v>1026</v>
      </c>
      <c r="DU16" s="17" t="s">
        <v>1026</v>
      </c>
      <c r="DV16" s="14" t="s">
        <v>1030</v>
      </c>
      <c r="DW16" s="17" t="s">
        <v>1025</v>
      </c>
      <c r="DX16" s="14" t="s">
        <v>1027</v>
      </c>
      <c r="DY16" s="17" t="s">
        <v>1029</v>
      </c>
      <c r="DZ16" s="14" t="s">
        <v>1022</v>
      </c>
      <c r="EA16" s="17" t="s">
        <v>1023</v>
      </c>
      <c r="EB16" s="14" t="s">
        <v>1030</v>
      </c>
      <c r="EC16" s="17" t="s">
        <v>1026</v>
      </c>
      <c r="ED16" s="14" t="s">
        <v>1022</v>
      </c>
      <c r="EE16" s="17" t="s">
        <v>1023</v>
      </c>
      <c r="EF16" s="14" t="s">
        <v>1024</v>
      </c>
      <c r="EG16" s="17" t="s">
        <v>1028</v>
      </c>
      <c r="EH16" s="14" t="s">
        <v>1029</v>
      </c>
      <c r="EI16" s="17" t="s">
        <v>1025</v>
      </c>
      <c r="EJ16" s="14" t="s">
        <v>1025</v>
      </c>
      <c r="EK16" s="17" t="s">
        <v>1030</v>
      </c>
      <c r="EL16" s="14" t="s">
        <v>1029</v>
      </c>
      <c r="EM16" s="17" t="s">
        <v>1024</v>
      </c>
      <c r="EN16" s="14" t="s">
        <v>1031</v>
      </c>
      <c r="EO16" s="17" t="s">
        <v>1028</v>
      </c>
      <c r="EP16" s="14" t="s">
        <v>1028</v>
      </c>
      <c r="EQ16" s="17" t="s">
        <v>1022</v>
      </c>
      <c r="ER16" s="14" t="s">
        <v>1026</v>
      </c>
      <c r="ES16" s="17" t="s">
        <v>1031</v>
      </c>
      <c r="ET16" s="14" t="s">
        <v>1026</v>
      </c>
      <c r="EU16" s="17" t="s">
        <v>1030</v>
      </c>
      <c r="EV16" s="14" t="s">
        <v>1026</v>
      </c>
      <c r="EW16" s="17" t="s">
        <v>1029</v>
      </c>
      <c r="EX16" s="14" t="s">
        <v>1029</v>
      </c>
      <c r="EY16" s="17" t="s">
        <v>1022</v>
      </c>
      <c r="EZ16" s="14" t="s">
        <v>1030</v>
      </c>
      <c r="FA16" s="17" t="s">
        <v>1022</v>
      </c>
      <c r="FB16" s="14" t="s">
        <v>1024</v>
      </c>
      <c r="FC16" s="17" t="s">
        <v>1023</v>
      </c>
      <c r="FD16" s="14" t="s">
        <v>1026</v>
      </c>
      <c r="FE16" s="17" t="s">
        <v>1027</v>
      </c>
      <c r="FF16" s="14" t="s">
        <v>1027</v>
      </c>
      <c r="FG16" s="17" t="s">
        <v>1025</v>
      </c>
      <c r="FH16" s="14" t="s">
        <v>1026</v>
      </c>
      <c r="FI16" s="17" t="s">
        <v>1029</v>
      </c>
      <c r="FJ16" s="14" t="s">
        <v>1026</v>
      </c>
      <c r="FK16" s="17" t="s">
        <v>1022</v>
      </c>
      <c r="FL16" s="14" t="s">
        <v>1031</v>
      </c>
      <c r="FM16" s="17" t="s">
        <v>1030</v>
      </c>
      <c r="FN16" s="14" t="s">
        <v>1026</v>
      </c>
      <c r="FO16" s="17" t="s">
        <v>1023</v>
      </c>
      <c r="FP16" s="14" t="s">
        <v>1026</v>
      </c>
      <c r="FQ16" s="17" t="s">
        <v>1029</v>
      </c>
      <c r="FR16" s="14" t="s">
        <v>1031</v>
      </c>
      <c r="FS16" s="17" t="s">
        <v>1029</v>
      </c>
      <c r="FT16" s="14" t="s">
        <v>1030</v>
      </c>
      <c r="FU16" s="17" t="s">
        <v>1027</v>
      </c>
      <c r="FV16" s="14" t="s">
        <v>1024</v>
      </c>
      <c r="FW16" s="17" t="s">
        <v>1024</v>
      </c>
      <c r="FX16" s="14" t="s">
        <v>1031</v>
      </c>
      <c r="FY16" s="17" t="s">
        <v>1029</v>
      </c>
      <c r="FZ16" s="14" t="s">
        <v>1024</v>
      </c>
      <c r="GA16" s="17" t="s">
        <v>1024</v>
      </c>
      <c r="GB16" s="14" t="s">
        <v>1030</v>
      </c>
      <c r="GC16" s="17" t="s">
        <v>1023</v>
      </c>
      <c r="GD16" s="14" t="s">
        <v>1022</v>
      </c>
      <c r="GE16" s="17" t="s">
        <v>1030</v>
      </c>
      <c r="GF16" s="14" t="s">
        <v>1025</v>
      </c>
      <c r="GG16" s="17" t="s">
        <v>1025</v>
      </c>
      <c r="GH16" s="14" t="s">
        <v>1031</v>
      </c>
      <c r="GI16" s="17" t="s">
        <v>1030</v>
      </c>
      <c r="GJ16" s="14" t="s">
        <v>1029</v>
      </c>
      <c r="GK16" s="17" t="s">
        <v>1027</v>
      </c>
      <c r="GL16" s="14" t="s">
        <v>1027</v>
      </c>
      <c r="GM16" s="17" t="s">
        <v>1027</v>
      </c>
      <c r="GN16" s="14" t="s">
        <v>1022</v>
      </c>
      <c r="GO16" s="17" t="s">
        <v>1025</v>
      </c>
      <c r="GP16" s="14" t="s">
        <v>1031</v>
      </c>
      <c r="GQ16" s="17" t="s">
        <v>1024</v>
      </c>
      <c r="GR16" s="14" t="s">
        <v>1028</v>
      </c>
      <c r="GS16" s="17" t="s">
        <v>1031</v>
      </c>
      <c r="GT16" s="14" t="s">
        <v>1029</v>
      </c>
      <c r="GU16" s="17" t="s">
        <v>1026</v>
      </c>
      <c r="GV16" s="14" t="s">
        <v>1025</v>
      </c>
      <c r="GW16" s="17" t="s">
        <v>1024</v>
      </c>
      <c r="GX16" s="14" t="s">
        <v>1030</v>
      </c>
      <c r="GY16" s="17" t="s">
        <v>1024</v>
      </c>
      <c r="GZ16" s="14" t="s">
        <v>1022</v>
      </c>
      <c r="HA16" s="17" t="s">
        <v>1028</v>
      </c>
      <c r="HB16" s="14" t="s">
        <v>1022</v>
      </c>
      <c r="HC16" s="17" t="s">
        <v>1028</v>
      </c>
      <c r="HD16" s="14" t="s">
        <v>1029</v>
      </c>
      <c r="HE16" s="17" t="s">
        <v>1024</v>
      </c>
      <c r="HF16" s="14" t="s">
        <v>1023</v>
      </c>
      <c r="HG16" s="17" t="s">
        <v>1031</v>
      </c>
      <c r="HH16" s="14" t="s">
        <v>1028</v>
      </c>
      <c r="HI16" s="17" t="s">
        <v>1031</v>
      </c>
      <c r="HJ16" s="14" t="s">
        <v>1023</v>
      </c>
      <c r="HK16" s="17" t="s">
        <v>1027</v>
      </c>
      <c r="HL16" s="14" t="s">
        <v>1028</v>
      </c>
      <c r="HM16" s="17" t="s">
        <v>1023</v>
      </c>
      <c r="HN16" s="14" t="s">
        <v>1024</v>
      </c>
      <c r="HO16" s="17" t="s">
        <v>1025</v>
      </c>
      <c r="HP16" s="14" t="s">
        <v>1030</v>
      </c>
      <c r="HQ16" s="17" t="s">
        <v>1029</v>
      </c>
      <c r="HR16" s="14" t="s">
        <v>1023</v>
      </c>
      <c r="HS16" s="17" t="s">
        <v>1027</v>
      </c>
      <c r="HT16" s="14" t="s">
        <v>1022</v>
      </c>
      <c r="HU16" s="17" t="s">
        <v>1029</v>
      </c>
      <c r="HV16" s="14" t="s">
        <v>1025</v>
      </c>
      <c r="HW16" s="17" t="s">
        <v>1029</v>
      </c>
      <c r="HX16" s="14" t="s">
        <v>1031</v>
      </c>
      <c r="HY16" s="17" t="s">
        <v>1028</v>
      </c>
      <c r="HZ16" s="14" t="s">
        <v>1023</v>
      </c>
      <c r="IA16" s="17" t="s">
        <v>1027</v>
      </c>
      <c r="IB16" s="14" t="s">
        <v>1022</v>
      </c>
      <c r="IC16" s="17" t="s">
        <v>1030</v>
      </c>
      <c r="ID16" s="14" t="s">
        <v>1026</v>
      </c>
      <c r="IE16" s="17" t="s">
        <v>1022</v>
      </c>
      <c r="IF16" s="14" t="s">
        <v>1022</v>
      </c>
      <c r="IG16" s="17" t="s">
        <v>1025</v>
      </c>
      <c r="IH16" s="14" t="s">
        <v>1028</v>
      </c>
      <c r="II16" s="17" t="s">
        <v>1029</v>
      </c>
      <c r="IJ16" s="14" t="s">
        <v>1022</v>
      </c>
      <c r="IK16" s="17" t="s">
        <v>1027</v>
      </c>
      <c r="IL16" s="14" t="s">
        <v>1024</v>
      </c>
      <c r="IM16" s="17" t="s">
        <v>1023</v>
      </c>
      <c r="IN16" s="14" t="s">
        <v>1030</v>
      </c>
      <c r="IO16" s="17" t="s">
        <v>1030</v>
      </c>
      <c r="IP16" s="14" t="s">
        <v>1022</v>
      </c>
      <c r="IQ16" s="17" t="s">
        <v>1027</v>
      </c>
      <c r="IR16" s="14" t="s">
        <v>1023</v>
      </c>
      <c r="IS16" s="17" t="s">
        <v>1023</v>
      </c>
      <c r="IT16" s="14" t="s">
        <v>1027</v>
      </c>
      <c r="IU16" s="17" t="s">
        <v>1029</v>
      </c>
      <c r="IV16" s="14" t="s">
        <v>1023</v>
      </c>
      <c r="IW16" s="17" t="s">
        <v>1027</v>
      </c>
      <c r="IX16" s="14" t="s">
        <v>1027</v>
      </c>
      <c r="IY16" s="17" t="s">
        <v>1030</v>
      </c>
      <c r="IZ16" s="14" t="s">
        <v>1027</v>
      </c>
      <c r="JA16" s="17" t="s">
        <v>1022</v>
      </c>
      <c r="JB16" s="14" t="s">
        <v>1031</v>
      </c>
      <c r="JC16" s="17" t="s">
        <v>1028</v>
      </c>
      <c r="JD16" s="14" t="s">
        <v>1025</v>
      </c>
      <c r="JE16" s="17" t="s">
        <v>1030</v>
      </c>
      <c r="JF16" s="14" t="s">
        <v>1031</v>
      </c>
      <c r="JG16" s="17" t="s">
        <v>1029</v>
      </c>
      <c r="JH16" s="14" t="s">
        <v>1026</v>
      </c>
      <c r="JI16" s="17" t="s">
        <v>1029</v>
      </c>
      <c r="JJ16" s="14" t="s">
        <v>1022</v>
      </c>
      <c r="JK16" s="17" t="s">
        <v>1027</v>
      </c>
      <c r="JL16" s="14" t="s">
        <v>1022</v>
      </c>
      <c r="JM16" s="17" t="s">
        <v>1029</v>
      </c>
      <c r="JN16" s="14" t="s">
        <v>1028</v>
      </c>
      <c r="JO16" s="17" t="s">
        <v>1031</v>
      </c>
      <c r="JP16" s="14" t="s">
        <v>1029</v>
      </c>
      <c r="JQ16" s="17" t="s">
        <v>1023</v>
      </c>
      <c r="JR16" s="14" t="s">
        <v>1027</v>
      </c>
      <c r="JS16" s="17" t="s">
        <v>1022</v>
      </c>
      <c r="JT16" s="14" t="s">
        <v>1030</v>
      </c>
      <c r="JU16" s="17" t="s">
        <v>1023</v>
      </c>
      <c r="JV16" s="14" t="s">
        <v>1030</v>
      </c>
      <c r="JW16" s="17" t="s">
        <v>1023</v>
      </c>
      <c r="JX16" s="14" t="s">
        <v>1029</v>
      </c>
      <c r="JY16" s="17" t="s">
        <v>1029</v>
      </c>
      <c r="JZ16" s="14" t="s">
        <v>1030</v>
      </c>
      <c r="KA16" s="17" t="s">
        <v>1027</v>
      </c>
      <c r="KB16" s="14" t="s">
        <v>1030</v>
      </c>
      <c r="KC16" s="17" t="s">
        <v>1026</v>
      </c>
      <c r="KD16" s="14" t="s">
        <v>1028</v>
      </c>
      <c r="KE16" s="17" t="s">
        <v>1023</v>
      </c>
      <c r="KF16" s="14" t="s">
        <v>1026</v>
      </c>
      <c r="KG16" s="17" t="s">
        <v>1023</v>
      </c>
      <c r="KH16" s="14" t="s">
        <v>1024</v>
      </c>
      <c r="KI16" s="17" t="s">
        <v>1027</v>
      </c>
      <c r="KJ16" s="14" t="s">
        <v>1026</v>
      </c>
      <c r="KK16" s="17" t="s">
        <v>1023</v>
      </c>
      <c r="KL16" s="14" t="s">
        <v>1025</v>
      </c>
      <c r="KM16" s="17" t="s">
        <v>1023</v>
      </c>
      <c r="KN16" s="14" t="s">
        <v>1030</v>
      </c>
      <c r="KO16" s="17" t="s">
        <v>1030</v>
      </c>
      <c r="KP16" s="14" t="s">
        <v>1024</v>
      </c>
      <c r="KQ16" s="17" t="s">
        <v>1031</v>
      </c>
      <c r="KR16" s="14" t="s">
        <v>1023</v>
      </c>
      <c r="KS16" s="17" t="s">
        <v>1030</v>
      </c>
      <c r="KT16" s="14" t="s">
        <v>1028</v>
      </c>
      <c r="KU16" s="17" t="s">
        <v>1027</v>
      </c>
      <c r="KV16" s="14" t="s">
        <v>1023</v>
      </c>
      <c r="KW16" s="17" t="s">
        <v>1022</v>
      </c>
      <c r="KX16" s="14" t="s">
        <v>1027</v>
      </c>
      <c r="KY16" s="17" t="s">
        <v>1030</v>
      </c>
      <c r="KZ16" s="14" t="s">
        <v>1024</v>
      </c>
      <c r="LA16" s="17" t="s">
        <v>1025</v>
      </c>
      <c r="LB16" s="14" t="s">
        <v>1025</v>
      </c>
      <c r="LC16" s="17" t="s">
        <v>1030</v>
      </c>
      <c r="LD16" s="14" t="s">
        <v>1030</v>
      </c>
      <c r="LE16" s="17" t="s">
        <v>1029</v>
      </c>
      <c r="LF16" s="14" t="s">
        <v>1027</v>
      </c>
      <c r="LG16" s="17" t="s">
        <v>1024</v>
      </c>
      <c r="LH16" s="14" t="s">
        <v>1027</v>
      </c>
      <c r="LI16" s="17" t="s">
        <v>1029</v>
      </c>
      <c r="LJ16" s="14" t="s">
        <v>1030</v>
      </c>
      <c r="LK16" s="17" t="s">
        <v>1027</v>
      </c>
      <c r="LL16" s="14" t="s">
        <v>1023</v>
      </c>
      <c r="LM16" s="17" t="s">
        <v>1027</v>
      </c>
      <c r="LN16" s="14" t="s">
        <v>1022</v>
      </c>
      <c r="LO16" s="17" t="s">
        <v>1027</v>
      </c>
      <c r="LP16" s="14" t="s">
        <v>1026</v>
      </c>
      <c r="LQ16" s="17" t="s">
        <v>1031</v>
      </c>
      <c r="LR16" s="14" t="s">
        <v>1030</v>
      </c>
      <c r="LS16" s="17" t="s">
        <v>1023</v>
      </c>
      <c r="LT16" s="14" t="s">
        <v>1026</v>
      </c>
      <c r="LU16" s="17" t="s">
        <v>1022</v>
      </c>
      <c r="LV16" s="14" t="s">
        <v>1023</v>
      </c>
      <c r="LW16" s="17" t="s">
        <v>1023</v>
      </c>
      <c r="LX16" s="14" t="s">
        <v>1030</v>
      </c>
      <c r="LY16" s="17" t="s">
        <v>1026</v>
      </c>
      <c r="LZ16" s="14" t="s">
        <v>1023</v>
      </c>
      <c r="MA16" s="17" t="s">
        <v>1031</v>
      </c>
      <c r="MB16" s="14" t="s">
        <v>1029</v>
      </c>
      <c r="MC16" s="17" t="s">
        <v>1025</v>
      </c>
      <c r="MD16" s="14" t="s">
        <v>1022</v>
      </c>
      <c r="ME16" s="17" t="s">
        <v>1022</v>
      </c>
      <c r="MF16" s="14" t="s">
        <v>1026</v>
      </c>
      <c r="MG16" s="17" t="s">
        <v>1023</v>
      </c>
      <c r="MH16" s="14" t="s">
        <v>1025</v>
      </c>
      <c r="MI16" s="17" t="s">
        <v>1026</v>
      </c>
      <c r="MJ16" s="14" t="s">
        <v>1029</v>
      </c>
      <c r="MK16" s="17" t="s">
        <v>1029</v>
      </c>
      <c r="ML16" s="14" t="s">
        <v>1024</v>
      </c>
      <c r="MM16" s="17" t="s">
        <v>1031</v>
      </c>
      <c r="MN16" s="14" t="s">
        <v>1024</v>
      </c>
      <c r="MO16" s="17" t="s">
        <v>1030</v>
      </c>
      <c r="MP16" s="14" t="s">
        <v>1024</v>
      </c>
      <c r="MQ16" s="17" t="s">
        <v>1031</v>
      </c>
      <c r="MR16" s="14" t="s">
        <v>1024</v>
      </c>
      <c r="MS16" s="17" t="s">
        <v>1023</v>
      </c>
      <c r="MT16" s="14" t="s">
        <v>1028</v>
      </c>
      <c r="MU16" s="17" t="s">
        <v>1024</v>
      </c>
      <c r="MV16" s="14" t="s">
        <v>1026</v>
      </c>
      <c r="MW16" s="17" t="s">
        <v>1031</v>
      </c>
      <c r="MX16" s="14" t="s">
        <v>1027</v>
      </c>
      <c r="MY16" s="17" t="s">
        <v>1022</v>
      </c>
      <c r="MZ16" s="14" t="s">
        <v>1030</v>
      </c>
      <c r="NA16" s="17" t="s">
        <v>1031</v>
      </c>
      <c r="NB16" s="14" t="s">
        <v>1026</v>
      </c>
      <c r="NC16" s="17" t="s">
        <v>1029</v>
      </c>
      <c r="ND16" s="14" t="s">
        <v>1025</v>
      </c>
      <c r="NE16" s="17" t="s">
        <v>1029</v>
      </c>
      <c r="NF16" s="14" t="s">
        <v>1023</v>
      </c>
      <c r="NG16" s="17" t="s">
        <v>1025</v>
      </c>
      <c r="NH16" s="14" t="s">
        <v>1026</v>
      </c>
      <c r="NI16" s="17" t="s">
        <v>1026</v>
      </c>
      <c r="NJ16" s="14" t="s">
        <v>1023</v>
      </c>
      <c r="NK16" s="17" t="s">
        <v>1030</v>
      </c>
      <c r="NL16" s="14" t="s">
        <v>1024</v>
      </c>
      <c r="NM16" s="17" t="s">
        <v>1030</v>
      </c>
      <c r="NN16" s="14" t="s">
        <v>1026</v>
      </c>
      <c r="NO16" s="17" t="s">
        <v>1028</v>
      </c>
      <c r="NP16" s="14" t="s">
        <v>1026</v>
      </c>
      <c r="NQ16" s="17" t="s">
        <v>1023</v>
      </c>
      <c r="NR16" s="14" t="s">
        <v>1027</v>
      </c>
      <c r="NS16" s="17" t="s">
        <v>1027</v>
      </c>
      <c r="NT16" s="14" t="s">
        <v>1031</v>
      </c>
      <c r="NU16" s="17" t="s">
        <v>1029</v>
      </c>
      <c r="NV16" s="14" t="s">
        <v>1024</v>
      </c>
      <c r="NW16" s="17" t="s">
        <v>1030</v>
      </c>
      <c r="NX16" s="14" t="s">
        <v>1027</v>
      </c>
      <c r="NY16" s="17" t="s">
        <v>1024</v>
      </c>
      <c r="NZ16" s="14" t="s">
        <v>1030</v>
      </c>
      <c r="OA16" s="17" t="s">
        <v>1029</v>
      </c>
      <c r="OB16" s="14" t="s">
        <v>1026</v>
      </c>
      <c r="OC16" s="17" t="s">
        <v>1023</v>
      </c>
      <c r="OD16" s="14" t="s">
        <v>1022</v>
      </c>
      <c r="OE16" s="17" t="s">
        <v>1022</v>
      </c>
      <c r="OF16" s="14" t="s">
        <v>1024</v>
      </c>
      <c r="OG16" s="17" t="s">
        <v>1028</v>
      </c>
      <c r="OH16" s="14" t="s">
        <v>1028</v>
      </c>
      <c r="OI16" s="17" t="s">
        <v>1025</v>
      </c>
      <c r="OJ16" s="14" t="s">
        <v>1025</v>
      </c>
      <c r="OK16" s="17" t="s">
        <v>1025</v>
      </c>
      <c r="OL16" s="14" t="s">
        <v>1022</v>
      </c>
      <c r="OM16" s="17" t="s">
        <v>1026</v>
      </c>
      <c r="ON16" s="14" t="s">
        <v>1029</v>
      </c>
      <c r="OO16" s="17" t="s">
        <v>1024</v>
      </c>
      <c r="OP16" s="14" t="s">
        <v>1027</v>
      </c>
      <c r="OQ16" s="17" t="s">
        <v>1028</v>
      </c>
      <c r="OR16" s="14" t="s">
        <v>1031</v>
      </c>
      <c r="OS16" s="17" t="s">
        <v>1030</v>
      </c>
      <c r="OT16" s="14" t="s">
        <v>1029</v>
      </c>
      <c r="OU16" s="17" t="s">
        <v>1023</v>
      </c>
      <c r="OV16" s="14" t="s">
        <v>1029</v>
      </c>
      <c r="OW16" s="17" t="s">
        <v>1024</v>
      </c>
      <c r="OX16" s="14" t="s">
        <v>1026</v>
      </c>
      <c r="OY16" s="17" t="s">
        <v>1025</v>
      </c>
      <c r="OZ16" s="14" t="s">
        <v>1027</v>
      </c>
      <c r="PA16" s="17" t="s">
        <v>1031</v>
      </c>
      <c r="PB16" s="14" t="s">
        <v>1022</v>
      </c>
      <c r="PC16" s="17" t="s">
        <v>1026</v>
      </c>
      <c r="PD16" s="14" t="s">
        <v>1029</v>
      </c>
      <c r="PE16" s="17" t="s">
        <v>1022</v>
      </c>
      <c r="PF16" s="14" t="s">
        <v>1030</v>
      </c>
      <c r="PG16" s="17" t="s">
        <v>1025</v>
      </c>
      <c r="PH16" s="14" t="s">
        <v>1026</v>
      </c>
      <c r="PI16" s="17" t="s">
        <v>1031</v>
      </c>
      <c r="PJ16" s="14" t="s">
        <v>1026</v>
      </c>
      <c r="PK16" s="17" t="s">
        <v>1025</v>
      </c>
      <c r="PL16" s="14" t="s">
        <v>1024</v>
      </c>
      <c r="PM16" s="17" t="s">
        <v>1031</v>
      </c>
      <c r="PN16" s="14" t="s">
        <v>1031</v>
      </c>
      <c r="PO16" s="17" t="s">
        <v>1025</v>
      </c>
      <c r="PP16" s="14" t="s">
        <v>1026</v>
      </c>
      <c r="PQ16" s="17" t="s">
        <v>1028</v>
      </c>
      <c r="PR16" s="14" t="s">
        <v>1024</v>
      </c>
      <c r="PS16" s="17" t="s">
        <v>1030</v>
      </c>
      <c r="PT16" s="14" t="s">
        <v>1023</v>
      </c>
      <c r="PU16" s="17" t="s">
        <v>1024</v>
      </c>
      <c r="PV16" s="14" t="s">
        <v>1023</v>
      </c>
      <c r="PW16" s="17" t="s">
        <v>1030</v>
      </c>
      <c r="PX16" s="14" t="s">
        <v>1031</v>
      </c>
      <c r="PY16" s="17" t="s">
        <v>1029</v>
      </c>
      <c r="PZ16" s="14" t="s">
        <v>1025</v>
      </c>
      <c r="QA16" s="17" t="s">
        <v>1031</v>
      </c>
      <c r="QB16" s="14" t="s">
        <v>1031</v>
      </c>
      <c r="QC16" s="17" t="s">
        <v>1025</v>
      </c>
      <c r="QD16" s="14" t="s">
        <v>1022</v>
      </c>
      <c r="QE16" s="17" t="s">
        <v>1025</v>
      </c>
      <c r="QF16" s="14" t="s">
        <v>1027</v>
      </c>
      <c r="QG16" s="17" t="s">
        <v>1029</v>
      </c>
      <c r="QH16" s="14" t="s">
        <v>1030</v>
      </c>
      <c r="QI16" s="17" t="s">
        <v>1026</v>
      </c>
      <c r="QJ16" s="14" t="s">
        <v>1026</v>
      </c>
      <c r="QK16" s="17" t="s">
        <v>1023</v>
      </c>
      <c r="QL16" s="14" t="s">
        <v>1028</v>
      </c>
      <c r="QM16" s="17" t="s">
        <v>1024</v>
      </c>
      <c r="QN16" s="14" t="s">
        <v>1027</v>
      </c>
      <c r="QO16" s="17" t="s">
        <v>1022</v>
      </c>
      <c r="QP16" s="14" t="s">
        <v>1028</v>
      </c>
      <c r="QQ16" s="17" t="s">
        <v>1029</v>
      </c>
      <c r="QR16" s="14" t="s">
        <v>1024</v>
      </c>
      <c r="QS16" s="17" t="s">
        <v>1028</v>
      </c>
      <c r="QT16" s="14" t="s">
        <v>1024</v>
      </c>
      <c r="QU16" s="17" t="s">
        <v>1028</v>
      </c>
      <c r="QV16" s="14" t="s">
        <v>1031</v>
      </c>
      <c r="QW16" s="17" t="s">
        <v>1027</v>
      </c>
      <c r="QX16" s="14" t="s">
        <v>1022</v>
      </c>
      <c r="QY16" s="17" t="s">
        <v>1031</v>
      </c>
      <c r="QZ16" s="14" t="s">
        <v>1025</v>
      </c>
      <c r="RA16" s="17" t="s">
        <v>1026</v>
      </c>
      <c r="RB16" s="14" t="s">
        <v>1024</v>
      </c>
      <c r="RC16" s="17" t="s">
        <v>1029</v>
      </c>
      <c r="RD16" s="14" t="s">
        <v>1028</v>
      </c>
      <c r="RE16" s="17" t="s">
        <v>1027</v>
      </c>
      <c r="RF16" s="14" t="s">
        <v>1028</v>
      </c>
      <c r="RG16" s="17" t="s">
        <v>1027</v>
      </c>
      <c r="RH16" s="14" t="s">
        <v>1027</v>
      </c>
      <c r="RI16" s="17" t="s">
        <v>1030</v>
      </c>
      <c r="RJ16" s="14" t="s">
        <v>1026</v>
      </c>
      <c r="RK16" s="17" t="s">
        <v>1031</v>
      </c>
      <c r="RL16" s="14" t="s">
        <v>1030</v>
      </c>
      <c r="RM16" s="17" t="s">
        <v>1030</v>
      </c>
      <c r="RN16" s="14" t="s">
        <v>1022</v>
      </c>
      <c r="RO16" s="17" t="s">
        <v>1022</v>
      </c>
      <c r="RP16" s="14" t="s">
        <v>1030</v>
      </c>
      <c r="RQ16" s="17" t="s">
        <v>1029</v>
      </c>
      <c r="RR16" s="14" t="s">
        <v>1024</v>
      </c>
      <c r="RS16" s="17" t="s">
        <v>1026</v>
      </c>
      <c r="RT16" s="14" t="s">
        <v>1024</v>
      </c>
      <c r="RU16" s="17" t="s">
        <v>1022</v>
      </c>
      <c r="RV16" s="14" t="s">
        <v>1030</v>
      </c>
      <c r="RW16" s="17" t="s">
        <v>1027</v>
      </c>
      <c r="RX16" s="14" t="s">
        <v>1025</v>
      </c>
      <c r="RY16" s="17" t="s">
        <v>1023</v>
      </c>
      <c r="RZ16" s="14" t="s">
        <v>1026</v>
      </c>
      <c r="SA16" s="17" t="s">
        <v>1026</v>
      </c>
      <c r="SB16" s="14" t="s">
        <v>1024</v>
      </c>
      <c r="SC16" s="17" t="s">
        <v>1028</v>
      </c>
      <c r="SD16" s="14" t="s">
        <v>1024</v>
      </c>
      <c r="SE16" s="17" t="s">
        <v>1028</v>
      </c>
      <c r="SF16" s="14" t="s">
        <v>1023</v>
      </c>
      <c r="SG16" s="17" t="s">
        <v>1025</v>
      </c>
      <c r="SH16" s="14" t="s">
        <v>1028</v>
      </c>
      <c r="SI16" s="17" t="s">
        <v>1031</v>
      </c>
      <c r="SJ16" s="14" t="s">
        <v>1029</v>
      </c>
      <c r="SK16" s="17" t="s">
        <v>1027</v>
      </c>
      <c r="SL16" s="14" t="s">
        <v>1027</v>
      </c>
      <c r="SM16" s="17" t="s">
        <v>1028</v>
      </c>
      <c r="SN16" s="14" t="s">
        <v>1024</v>
      </c>
      <c r="SO16" s="17" t="s">
        <v>1026</v>
      </c>
      <c r="SP16" s="14" t="s">
        <v>1024</v>
      </c>
      <c r="SQ16" s="17" t="s">
        <v>1030</v>
      </c>
      <c r="SR16" s="14" t="s">
        <v>1030</v>
      </c>
      <c r="SS16" s="17" t="s">
        <v>1027</v>
      </c>
      <c r="ST16" s="14" t="s">
        <v>1027</v>
      </c>
      <c r="SU16" s="17" t="s">
        <v>1027</v>
      </c>
      <c r="SV16" s="14" t="s">
        <v>1026</v>
      </c>
      <c r="SW16" s="17" t="s">
        <v>1026</v>
      </c>
      <c r="SX16" s="14" t="s">
        <v>1027</v>
      </c>
      <c r="SY16" s="17" t="s">
        <v>1026</v>
      </c>
      <c r="SZ16" s="14" t="s">
        <v>1025</v>
      </c>
      <c r="TA16" s="17" t="s">
        <v>1028</v>
      </c>
      <c r="TB16" s="14" t="s">
        <v>1023</v>
      </c>
      <c r="TC16" s="17" t="s">
        <v>1024</v>
      </c>
      <c r="TD16" s="14" t="s">
        <v>1025</v>
      </c>
      <c r="TE16" s="17" t="s">
        <v>1024</v>
      </c>
      <c r="TF16" s="14" t="s">
        <v>1031</v>
      </c>
      <c r="TG16" s="17" t="s">
        <v>1027</v>
      </c>
      <c r="TH16" s="14" t="s">
        <v>1027</v>
      </c>
      <c r="TI16" s="17" t="s">
        <v>1031</v>
      </c>
      <c r="TJ16" s="14" t="s">
        <v>1029</v>
      </c>
      <c r="TK16" s="17" t="s">
        <v>1030</v>
      </c>
      <c r="TL16" s="14" t="s">
        <v>1025</v>
      </c>
      <c r="TM16" s="17" t="s">
        <v>1024</v>
      </c>
      <c r="TN16" s="14" t="s">
        <v>1030</v>
      </c>
      <c r="TO16" s="17" t="s">
        <v>1027</v>
      </c>
      <c r="TP16" s="14" t="s">
        <v>1027</v>
      </c>
      <c r="TQ16" s="17" t="s">
        <v>1024</v>
      </c>
      <c r="TR16" s="14" t="s">
        <v>1029</v>
      </c>
      <c r="TS16" s="17" t="s">
        <v>1024</v>
      </c>
      <c r="TT16" s="14" t="s">
        <v>1023</v>
      </c>
      <c r="TU16" s="17" t="s">
        <v>1022</v>
      </c>
      <c r="TV16" s="14" t="s">
        <v>1029</v>
      </c>
      <c r="TW16" s="17" t="s">
        <v>1031</v>
      </c>
      <c r="TX16" s="14" t="s">
        <v>1025</v>
      </c>
      <c r="TY16" s="17" t="s">
        <v>1023</v>
      </c>
      <c r="TZ16" s="14" t="s">
        <v>1029</v>
      </c>
      <c r="UA16" s="17" t="s">
        <v>1023</v>
      </c>
      <c r="UB16" s="14" t="s">
        <v>1025</v>
      </c>
      <c r="UC16" s="17" t="s">
        <v>1025</v>
      </c>
      <c r="UD16" s="14" t="s">
        <v>1025</v>
      </c>
      <c r="UE16" s="17" t="s">
        <v>1031</v>
      </c>
      <c r="UF16" s="14" t="s">
        <v>1026</v>
      </c>
      <c r="UG16" s="17" t="s">
        <v>1022</v>
      </c>
      <c r="UH16" s="14" t="s">
        <v>1030</v>
      </c>
      <c r="UI16" s="17" t="s">
        <v>1025</v>
      </c>
      <c r="UJ16" s="14" t="s">
        <v>1031</v>
      </c>
      <c r="UK16" s="17" t="s">
        <v>1023</v>
      </c>
      <c r="UL16" s="14" t="s">
        <v>1025</v>
      </c>
      <c r="UM16" s="17" t="s">
        <v>1024</v>
      </c>
      <c r="UN16" s="14" t="s">
        <v>1027</v>
      </c>
      <c r="UO16" s="17" t="s">
        <v>1026</v>
      </c>
      <c r="UP16" s="14" t="s">
        <v>1022</v>
      </c>
      <c r="UQ16" s="17" t="s">
        <v>1031</v>
      </c>
      <c r="UR16" s="14" t="s">
        <v>1022</v>
      </c>
      <c r="US16" s="17" t="s">
        <v>1024</v>
      </c>
      <c r="UT16" s="14" t="s">
        <v>1031</v>
      </c>
      <c r="UU16" s="17" t="s">
        <v>1028</v>
      </c>
      <c r="UV16" s="14" t="s">
        <v>1023</v>
      </c>
      <c r="UW16" s="17" t="s">
        <v>1029</v>
      </c>
      <c r="UX16" s="14" t="s">
        <v>1028</v>
      </c>
      <c r="UY16" s="17" t="s">
        <v>1030</v>
      </c>
      <c r="UZ16" s="14" t="s">
        <v>1026</v>
      </c>
      <c r="VA16" s="17" t="s">
        <v>1025</v>
      </c>
      <c r="VB16" s="14" t="s">
        <v>1028</v>
      </c>
      <c r="VC16" s="17" t="s">
        <v>1024</v>
      </c>
      <c r="VD16" s="14" t="s">
        <v>1030</v>
      </c>
      <c r="VE16" s="17" t="s">
        <v>1028</v>
      </c>
      <c r="VF16" s="14" t="s">
        <v>1027</v>
      </c>
      <c r="VG16" s="17" t="s">
        <v>1029</v>
      </c>
      <c r="VH16" s="14" t="s">
        <v>1030</v>
      </c>
      <c r="VI16" s="17" t="s">
        <v>1022</v>
      </c>
      <c r="VJ16" s="14" t="s">
        <v>1022</v>
      </c>
      <c r="VK16" s="17" t="s">
        <v>1029</v>
      </c>
      <c r="VL16" s="14" t="s">
        <v>1022</v>
      </c>
      <c r="VM16" s="17" t="s">
        <v>1029</v>
      </c>
      <c r="VN16" s="14" t="s">
        <v>1031</v>
      </c>
      <c r="VO16" s="17" t="s">
        <v>1029</v>
      </c>
      <c r="VP16" s="14" t="s">
        <v>1023</v>
      </c>
      <c r="VQ16" s="17" t="s">
        <v>1022</v>
      </c>
      <c r="VR16" s="14" t="s">
        <v>1025</v>
      </c>
      <c r="VS16" s="17" t="s">
        <v>1023</v>
      </c>
      <c r="VT16" s="14" t="s">
        <v>1031</v>
      </c>
      <c r="VU16" s="17" t="s">
        <v>1028</v>
      </c>
      <c r="VV16" s="14" t="s">
        <v>1024</v>
      </c>
      <c r="VW16" s="17" t="s">
        <v>1026</v>
      </c>
      <c r="VX16" s="14" t="s">
        <v>1029</v>
      </c>
      <c r="VY16" s="17" t="s">
        <v>1022</v>
      </c>
      <c r="VZ16" s="14" t="s">
        <v>1023</v>
      </c>
      <c r="WA16" s="17" t="s">
        <v>1031</v>
      </c>
      <c r="WB16" s="14" t="s">
        <v>1027</v>
      </c>
      <c r="WC16" s="17" t="s">
        <v>1031</v>
      </c>
      <c r="WD16" s="14" t="s">
        <v>1030</v>
      </c>
      <c r="WE16" s="17" t="s">
        <v>1031</v>
      </c>
      <c r="WF16" s="14" t="s">
        <v>1027</v>
      </c>
      <c r="WG16" s="17" t="s">
        <v>1028</v>
      </c>
      <c r="WH16" s="14" t="s">
        <v>1023</v>
      </c>
      <c r="WI16" s="17" t="s">
        <v>1023</v>
      </c>
      <c r="WJ16" s="14" t="s">
        <v>1030</v>
      </c>
      <c r="WK16" s="17" t="s">
        <v>1025</v>
      </c>
      <c r="WL16" s="14" t="s">
        <v>1026</v>
      </c>
      <c r="WM16" s="17" t="s">
        <v>1025</v>
      </c>
      <c r="WN16" s="14" t="s">
        <v>1029</v>
      </c>
      <c r="WO16" s="17" t="s">
        <v>1024</v>
      </c>
      <c r="WP16" s="14" t="s">
        <v>1029</v>
      </c>
      <c r="WQ16" s="17" t="s">
        <v>1030</v>
      </c>
      <c r="WR16" s="14" t="s">
        <v>1027</v>
      </c>
      <c r="WS16" s="17" t="s">
        <v>1022</v>
      </c>
      <c r="WT16" s="14" t="s">
        <v>1022</v>
      </c>
      <c r="WU16" s="17" t="s">
        <v>1022</v>
      </c>
      <c r="WV16" s="14" t="s">
        <v>1022</v>
      </c>
      <c r="WW16" s="17" t="s">
        <v>1025</v>
      </c>
      <c r="WX16" s="14" t="s">
        <v>1024</v>
      </c>
      <c r="WY16" s="17" t="s">
        <v>1028</v>
      </c>
      <c r="WZ16" s="14" t="s">
        <v>1029</v>
      </c>
      <c r="XA16" s="17" t="s">
        <v>1029</v>
      </c>
      <c r="XB16" s="14" t="s">
        <v>1031</v>
      </c>
      <c r="XC16" s="17" t="s">
        <v>1030</v>
      </c>
      <c r="XD16" s="14" t="s">
        <v>1030</v>
      </c>
      <c r="XE16" s="17" t="s">
        <v>1027</v>
      </c>
      <c r="XF16" s="14" t="s">
        <v>1029</v>
      </c>
      <c r="XG16" s="17" t="s">
        <v>1022</v>
      </c>
      <c r="XH16" s="14" t="s">
        <v>1025</v>
      </c>
      <c r="XI16" s="17" t="s">
        <v>1027</v>
      </c>
      <c r="XJ16" s="14" t="s">
        <v>1025</v>
      </c>
      <c r="XK16" s="17" t="s">
        <v>1025</v>
      </c>
      <c r="XL16" s="14" t="s">
        <v>1024</v>
      </c>
      <c r="XM16" s="17" t="s">
        <v>1024</v>
      </c>
      <c r="XN16" s="14" t="s">
        <v>1023</v>
      </c>
      <c r="XO16" s="17" t="s">
        <v>1031</v>
      </c>
      <c r="XP16" s="14" t="s">
        <v>1025</v>
      </c>
      <c r="XQ16" s="17" t="s">
        <v>1022</v>
      </c>
      <c r="XR16" s="14" t="s">
        <v>1031</v>
      </c>
      <c r="XS16" s="17" t="s">
        <v>1025</v>
      </c>
      <c r="XT16" s="14" t="s">
        <v>1028</v>
      </c>
      <c r="XU16" s="17" t="s">
        <v>1027</v>
      </c>
      <c r="XV16" s="14" t="s">
        <v>1024</v>
      </c>
      <c r="XW16" s="17" t="s">
        <v>1027</v>
      </c>
      <c r="XX16" s="14" t="s">
        <v>1026</v>
      </c>
      <c r="XY16" s="17" t="s">
        <v>1029</v>
      </c>
      <c r="XZ16" s="14" t="s">
        <v>1028</v>
      </c>
      <c r="YA16" s="17" t="s">
        <v>1023</v>
      </c>
      <c r="YB16" s="14" t="s">
        <v>1028</v>
      </c>
      <c r="YC16" s="17" t="s">
        <v>1027</v>
      </c>
      <c r="YD16" s="14" t="s">
        <v>1027</v>
      </c>
      <c r="YE16" s="17" t="s">
        <v>1025</v>
      </c>
      <c r="YF16" s="14" t="s">
        <v>1025</v>
      </c>
      <c r="YG16" s="17" t="s">
        <v>1026</v>
      </c>
      <c r="YH16" s="14" t="s">
        <v>1031</v>
      </c>
      <c r="YI16" s="17" t="s">
        <v>1026</v>
      </c>
      <c r="YJ16" s="14" t="s">
        <v>1023</v>
      </c>
      <c r="YK16" s="17" t="s">
        <v>1025</v>
      </c>
      <c r="YL16" s="14" t="s">
        <v>1023</v>
      </c>
      <c r="YM16" s="17" t="s">
        <v>1025</v>
      </c>
      <c r="YN16" s="14" t="s">
        <v>1025</v>
      </c>
      <c r="YO16" s="17" t="s">
        <v>1025</v>
      </c>
      <c r="YP16" s="14" t="s">
        <v>1022</v>
      </c>
      <c r="YQ16" s="17" t="s">
        <v>1030</v>
      </c>
      <c r="YR16" s="14" t="s">
        <v>1028</v>
      </c>
      <c r="YS16" s="17" t="s">
        <v>1022</v>
      </c>
      <c r="YT16" s="14" t="s">
        <v>1029</v>
      </c>
      <c r="YU16" s="17" t="s">
        <v>1027</v>
      </c>
      <c r="YV16" s="14" t="s">
        <v>1024</v>
      </c>
      <c r="YW16" s="17" t="s">
        <v>1023</v>
      </c>
      <c r="YX16" s="14" t="s">
        <v>1030</v>
      </c>
      <c r="YY16" s="17" t="s">
        <v>1029</v>
      </c>
      <c r="YZ16" s="14" t="s">
        <v>1031</v>
      </c>
      <c r="ZA16" s="17" t="s">
        <v>1025</v>
      </c>
      <c r="ZB16" s="14" t="s">
        <v>1025</v>
      </c>
      <c r="ZC16" s="17" t="s">
        <v>1024</v>
      </c>
      <c r="ZD16" s="14" t="s">
        <v>1024</v>
      </c>
      <c r="ZE16" s="17" t="s">
        <v>1024</v>
      </c>
      <c r="ZF16" s="14" t="s">
        <v>1029</v>
      </c>
      <c r="ZG16" s="17" t="s">
        <v>1027</v>
      </c>
      <c r="ZH16" s="14" t="s">
        <v>1027</v>
      </c>
      <c r="ZI16" s="17" t="s">
        <v>1022</v>
      </c>
      <c r="ZJ16" s="14" t="s">
        <v>1023</v>
      </c>
      <c r="ZK16" s="17" t="s">
        <v>1022</v>
      </c>
      <c r="ZL16" s="14" t="s">
        <v>1028</v>
      </c>
      <c r="ZM16" s="17" t="s">
        <v>1031</v>
      </c>
      <c r="ZN16" s="14" t="s">
        <v>1023</v>
      </c>
      <c r="ZO16" s="17" t="s">
        <v>1028</v>
      </c>
      <c r="ZP16" s="14" t="s">
        <v>1025</v>
      </c>
      <c r="ZQ16" s="17" t="s">
        <v>1030</v>
      </c>
      <c r="ZR16" s="14" t="s">
        <v>1028</v>
      </c>
      <c r="ZS16" s="17" t="s">
        <v>1030</v>
      </c>
      <c r="ZT16" s="14" t="s">
        <v>1025</v>
      </c>
      <c r="ZU16" s="17" t="s">
        <v>1026</v>
      </c>
      <c r="ZV16" s="14" t="s">
        <v>1031</v>
      </c>
      <c r="ZW16" s="17" t="s">
        <v>1030</v>
      </c>
      <c r="ZX16" s="14" t="s">
        <v>1025</v>
      </c>
      <c r="ZY16" s="17" t="s">
        <v>1028</v>
      </c>
      <c r="ZZ16" s="14" t="s">
        <v>1030</v>
      </c>
      <c r="AAA16" s="17" t="s">
        <v>1023</v>
      </c>
      <c r="AAB16" s="14" t="s">
        <v>1026</v>
      </c>
      <c r="AAC16" s="17" t="s">
        <v>1022</v>
      </c>
      <c r="AAD16" s="14" t="s">
        <v>1023</v>
      </c>
      <c r="AAE16" s="17" t="s">
        <v>1022</v>
      </c>
      <c r="AAF16" s="14" t="s">
        <v>1025</v>
      </c>
      <c r="AAG16" s="17" t="s">
        <v>1024</v>
      </c>
      <c r="AAH16" s="14" t="s">
        <v>1023</v>
      </c>
      <c r="AAI16" s="17" t="s">
        <v>1023</v>
      </c>
      <c r="AAJ16" s="14" t="s">
        <v>1025</v>
      </c>
      <c r="AAK16" s="17" t="s">
        <v>1027</v>
      </c>
      <c r="AAL16" s="14" t="s">
        <v>1025</v>
      </c>
      <c r="AAM16" s="17" t="s">
        <v>1031</v>
      </c>
      <c r="AAN16" s="14" t="s">
        <v>1026</v>
      </c>
      <c r="AAO16" s="17" t="s">
        <v>1031</v>
      </c>
      <c r="AAP16" s="14" t="s">
        <v>1029</v>
      </c>
      <c r="AAQ16" s="17" t="s">
        <v>1027</v>
      </c>
      <c r="AAR16" s="14" t="s">
        <v>1027</v>
      </c>
      <c r="AAS16" s="17" t="s">
        <v>1027</v>
      </c>
      <c r="AAT16" s="14" t="s">
        <v>1026</v>
      </c>
      <c r="AAU16" s="17" t="s">
        <v>1031</v>
      </c>
      <c r="AAV16" s="14" t="s">
        <v>1022</v>
      </c>
      <c r="AAW16" s="17" t="s">
        <v>1028</v>
      </c>
      <c r="AAX16" s="14" t="s">
        <v>1026</v>
      </c>
      <c r="AAY16" s="17" t="s">
        <v>1024</v>
      </c>
      <c r="AAZ16" s="14" t="s">
        <v>1028</v>
      </c>
      <c r="ABA16" s="17" t="s">
        <v>1025</v>
      </c>
      <c r="ABB16" s="14" t="s">
        <v>1024</v>
      </c>
      <c r="ABC16" s="17" t="s">
        <v>1029</v>
      </c>
      <c r="ABD16" s="14" t="s">
        <v>1030</v>
      </c>
      <c r="ABE16" s="17" t="s">
        <v>1030</v>
      </c>
      <c r="ABF16" s="14" t="s">
        <v>1022</v>
      </c>
      <c r="ABG16" s="17" t="s">
        <v>1023</v>
      </c>
      <c r="ABH16" s="14" t="s">
        <v>1024</v>
      </c>
      <c r="ABI16" s="17" t="s">
        <v>1027</v>
      </c>
      <c r="ABJ16" s="14" t="s">
        <v>1031</v>
      </c>
      <c r="ABK16" s="17" t="s">
        <v>1030</v>
      </c>
      <c r="ABL16" s="14" t="s">
        <v>1023</v>
      </c>
      <c r="ABM16" s="17" t="s">
        <v>1030</v>
      </c>
      <c r="ABN16" s="14" t="s">
        <v>1026</v>
      </c>
      <c r="ABO16" s="17" t="s">
        <v>1031</v>
      </c>
      <c r="ABP16" s="14" t="s">
        <v>1023</v>
      </c>
      <c r="ABQ16" s="17" t="s">
        <v>1030</v>
      </c>
      <c r="ABR16" s="14" t="s">
        <v>1023</v>
      </c>
      <c r="ABS16" s="17" t="s">
        <v>1029</v>
      </c>
      <c r="ABT16" s="14" t="s">
        <v>1029</v>
      </c>
      <c r="ABU16" s="17" t="s">
        <v>1031</v>
      </c>
      <c r="ABV16" s="14" t="s">
        <v>1025</v>
      </c>
      <c r="ABW16" s="17" t="s">
        <v>1022</v>
      </c>
      <c r="ABX16" s="14" t="s">
        <v>1030</v>
      </c>
      <c r="ABY16" s="17" t="s">
        <v>1027</v>
      </c>
      <c r="ABZ16" s="14" t="s">
        <v>1030</v>
      </c>
      <c r="ACA16" s="17" t="s">
        <v>1031</v>
      </c>
      <c r="ACB16" s="14" t="s">
        <v>1026</v>
      </c>
      <c r="ACC16" s="17" t="s">
        <v>1030</v>
      </c>
      <c r="ACD16" s="14" t="s">
        <v>1027</v>
      </c>
      <c r="ACE16" s="17" t="s">
        <v>1024</v>
      </c>
      <c r="ACF16" s="14" t="s">
        <v>1024</v>
      </c>
      <c r="ACG16" s="17" t="s">
        <v>1024</v>
      </c>
      <c r="ACH16" s="14" t="s">
        <v>1024</v>
      </c>
      <c r="ACI16" s="17" t="s">
        <v>1031</v>
      </c>
      <c r="ACJ16" s="14" t="s">
        <v>1024</v>
      </c>
      <c r="ACK16" s="17" t="s">
        <v>1029</v>
      </c>
      <c r="ACL16" s="14" t="s">
        <v>1029</v>
      </c>
      <c r="ACM16" s="17" t="s">
        <v>1028</v>
      </c>
      <c r="ACN16" s="14" t="s">
        <v>1022</v>
      </c>
      <c r="ACO16" s="17" t="s">
        <v>1023</v>
      </c>
      <c r="ACP16" s="14" t="s">
        <v>1029</v>
      </c>
      <c r="ACQ16" s="17" t="s">
        <v>1023</v>
      </c>
      <c r="ACR16" s="14" t="s">
        <v>1028</v>
      </c>
      <c r="ACS16" s="17" t="s">
        <v>1022</v>
      </c>
      <c r="ACT16" s="14" t="s">
        <v>1029</v>
      </c>
      <c r="ACU16" s="17" t="s">
        <v>1029</v>
      </c>
      <c r="ACV16" s="14" t="s">
        <v>1022</v>
      </c>
      <c r="ACW16" s="17" t="s">
        <v>1022</v>
      </c>
      <c r="ACX16" s="14" t="s">
        <v>1023</v>
      </c>
      <c r="ACY16" s="17" t="s">
        <v>1025</v>
      </c>
      <c r="ACZ16" s="14" t="s">
        <v>1030</v>
      </c>
      <c r="ADA16" s="17" t="s">
        <v>1026</v>
      </c>
      <c r="ADB16" s="14" t="s">
        <v>1024</v>
      </c>
      <c r="ADC16" s="17" t="s">
        <v>1028</v>
      </c>
      <c r="ADD16" s="14" t="s">
        <v>1027</v>
      </c>
      <c r="ADE16" s="17" t="s">
        <v>1025</v>
      </c>
      <c r="ADF16" s="14" t="s">
        <v>1030</v>
      </c>
      <c r="ADG16" s="17" t="s">
        <v>1026</v>
      </c>
      <c r="ADH16" s="14" t="s">
        <v>1029</v>
      </c>
      <c r="ADI16" s="17" t="s">
        <v>1025</v>
      </c>
      <c r="ADJ16" s="14" t="s">
        <v>1025</v>
      </c>
      <c r="ADK16" s="17" t="s">
        <v>1031</v>
      </c>
      <c r="ADL16" s="14" t="s">
        <v>1028</v>
      </c>
      <c r="ADM16" s="17" t="s">
        <v>1027</v>
      </c>
      <c r="ADN16" s="14" t="s">
        <v>1028</v>
      </c>
      <c r="ADO16" s="17" t="s">
        <v>1023</v>
      </c>
      <c r="ADP16" s="14" t="s">
        <v>1024</v>
      </c>
      <c r="ADQ16" s="17" t="s">
        <v>1030</v>
      </c>
      <c r="ADR16" s="14" t="s">
        <v>1023</v>
      </c>
      <c r="ADS16" s="17" t="s">
        <v>1031</v>
      </c>
      <c r="ADT16" s="14" t="s">
        <v>1023</v>
      </c>
      <c r="ADU16" s="17" t="s">
        <v>1022</v>
      </c>
      <c r="ADV16" s="14" t="s">
        <v>1030</v>
      </c>
      <c r="ADW16" s="17" t="s">
        <v>1024</v>
      </c>
      <c r="ADX16" s="14" t="s">
        <v>1029</v>
      </c>
      <c r="ADY16" s="17" t="s">
        <v>1022</v>
      </c>
      <c r="ADZ16" s="14" t="s">
        <v>1022</v>
      </c>
      <c r="AEA16" s="17" t="s">
        <v>1030</v>
      </c>
      <c r="AEB16" s="14" t="s">
        <v>1022</v>
      </c>
      <c r="AEC16" s="17" t="s">
        <v>1029</v>
      </c>
      <c r="AED16" s="14" t="s">
        <v>1027</v>
      </c>
      <c r="AEE16" s="17" t="s">
        <v>1028</v>
      </c>
      <c r="AEF16" s="14" t="s">
        <v>1030</v>
      </c>
      <c r="AEG16" s="17" t="s">
        <v>1026</v>
      </c>
      <c r="AEH16" s="14" t="s">
        <v>1023</v>
      </c>
      <c r="AEI16" s="17" t="s">
        <v>1029</v>
      </c>
      <c r="AEJ16" s="14" t="s">
        <v>1024</v>
      </c>
      <c r="AEK16" s="17" t="s">
        <v>1025</v>
      </c>
      <c r="AEL16" s="14" t="s">
        <v>1028</v>
      </c>
      <c r="AEM16" s="17" t="s">
        <v>1027</v>
      </c>
      <c r="AEN16" s="14" t="s">
        <v>1029</v>
      </c>
      <c r="AEO16" s="17" t="s">
        <v>1027</v>
      </c>
      <c r="AEP16" s="14" t="s">
        <v>1029</v>
      </c>
      <c r="AEQ16" s="17" t="s">
        <v>1026</v>
      </c>
      <c r="AER16" s="14" t="s">
        <v>1029</v>
      </c>
      <c r="AES16" s="17" t="s">
        <v>1029</v>
      </c>
      <c r="AET16" s="14" t="s">
        <v>1026</v>
      </c>
      <c r="AEU16" s="17" t="s">
        <v>1024</v>
      </c>
      <c r="AEV16" s="14" t="s">
        <v>1031</v>
      </c>
      <c r="AEW16" s="17" t="s">
        <v>1024</v>
      </c>
      <c r="AEX16" s="14" t="s">
        <v>1026</v>
      </c>
      <c r="AEY16" s="17" t="s">
        <v>1028</v>
      </c>
      <c r="AEZ16" s="14" t="s">
        <v>1025</v>
      </c>
      <c r="AFA16" s="17" t="s">
        <v>1031</v>
      </c>
      <c r="AFB16" s="14" t="s">
        <v>1030</v>
      </c>
      <c r="AFC16" s="17" t="s">
        <v>1022</v>
      </c>
      <c r="AFD16" s="14" t="s">
        <v>1029</v>
      </c>
      <c r="AFE16" s="17" t="s">
        <v>1025</v>
      </c>
      <c r="AFF16" s="14" t="s">
        <v>1024</v>
      </c>
      <c r="AFG16" s="17" t="s">
        <v>1026</v>
      </c>
      <c r="AFH16" s="14" t="s">
        <v>1028</v>
      </c>
      <c r="AFI16" s="17" t="s">
        <v>1025</v>
      </c>
      <c r="AFJ16" s="14" t="s">
        <v>1027</v>
      </c>
      <c r="AFK16" s="17" t="s">
        <v>1027</v>
      </c>
      <c r="AFL16" s="14" t="s">
        <v>1030</v>
      </c>
      <c r="AFM16" s="17" t="s">
        <v>1024</v>
      </c>
      <c r="AFN16" s="14" t="s">
        <v>1026</v>
      </c>
      <c r="AFO16" s="17" t="s">
        <v>1028</v>
      </c>
      <c r="AFP16" s="14" t="s">
        <v>1027</v>
      </c>
      <c r="AFQ16" s="17" t="s">
        <v>1026</v>
      </c>
      <c r="AFR16" s="14" t="s">
        <v>1025</v>
      </c>
      <c r="AFS16" s="17" t="s">
        <v>1026</v>
      </c>
      <c r="AFT16" s="14" t="s">
        <v>1026</v>
      </c>
      <c r="AFU16" s="17" t="s">
        <v>1031</v>
      </c>
      <c r="AFV16" s="14" t="s">
        <v>1022</v>
      </c>
      <c r="AFW16" s="17" t="s">
        <v>1027</v>
      </c>
      <c r="AFX16" s="14" t="s">
        <v>1022</v>
      </c>
      <c r="AFY16" s="17" t="s">
        <v>1025</v>
      </c>
      <c r="AFZ16" s="14" t="s">
        <v>1028</v>
      </c>
      <c r="AGA16" s="17" t="s">
        <v>1022</v>
      </c>
      <c r="AGB16" s="14" t="s">
        <v>1023</v>
      </c>
      <c r="AGC16" s="17" t="s">
        <v>1024</v>
      </c>
      <c r="AGD16" s="14" t="s">
        <v>1025</v>
      </c>
      <c r="AGE16" s="17" t="s">
        <v>1030</v>
      </c>
      <c r="AGF16" s="14" t="s">
        <v>1029</v>
      </c>
      <c r="AGG16" s="17" t="s">
        <v>1028</v>
      </c>
      <c r="AGH16" s="14" t="s">
        <v>1031</v>
      </c>
      <c r="AGI16" s="17" t="s">
        <v>1022</v>
      </c>
      <c r="AGJ16" s="14" t="s">
        <v>1031</v>
      </c>
      <c r="AGK16" s="17" t="s">
        <v>1023</v>
      </c>
      <c r="AGL16" s="14" t="s">
        <v>1022</v>
      </c>
      <c r="AGM16" s="17" t="s">
        <v>1029</v>
      </c>
      <c r="AGN16" s="14" t="s">
        <v>1029</v>
      </c>
      <c r="AGO16" s="17" t="s">
        <v>1026</v>
      </c>
      <c r="AGP16" s="14" t="s">
        <v>1026</v>
      </c>
      <c r="AGQ16" s="17" t="s">
        <v>1027</v>
      </c>
      <c r="AGR16" s="14" t="s">
        <v>1031</v>
      </c>
      <c r="AGS16" s="17" t="s">
        <v>1030</v>
      </c>
      <c r="AGT16" s="14" t="s">
        <v>1026</v>
      </c>
      <c r="AGU16" s="17" t="s">
        <v>1028</v>
      </c>
      <c r="AGV16" s="14" t="s">
        <v>1026</v>
      </c>
      <c r="AGW16" s="17" t="s">
        <v>1026</v>
      </c>
      <c r="AGX16" s="14" t="s">
        <v>1025</v>
      </c>
      <c r="AGY16" s="17" t="s">
        <v>1022</v>
      </c>
      <c r="AGZ16" s="14" t="s">
        <v>1031</v>
      </c>
      <c r="AHA16" s="17" t="s">
        <v>1025</v>
      </c>
      <c r="AHB16" s="14" t="s">
        <v>1025</v>
      </c>
      <c r="AHC16" s="17" t="s">
        <v>1031</v>
      </c>
      <c r="AHD16" s="14" t="s">
        <v>1029</v>
      </c>
      <c r="AHE16" s="17" t="s">
        <v>1026</v>
      </c>
      <c r="AHF16" s="14" t="s">
        <v>1030</v>
      </c>
      <c r="AHG16" s="17" t="s">
        <v>1029</v>
      </c>
      <c r="AHH16" s="14" t="s">
        <v>1025</v>
      </c>
      <c r="AHI16" s="17" t="s">
        <v>1023</v>
      </c>
      <c r="AHJ16" s="14" t="s">
        <v>1023</v>
      </c>
      <c r="AHK16" s="17" t="s">
        <v>1024</v>
      </c>
      <c r="AHL16" s="14" t="s">
        <v>1026</v>
      </c>
      <c r="AHM16" s="17" t="s">
        <v>1026</v>
      </c>
      <c r="AHN16" s="14" t="s">
        <v>1029</v>
      </c>
      <c r="AHO16" s="17" t="s">
        <v>1029</v>
      </c>
      <c r="AHP16" s="14" t="s">
        <v>1030</v>
      </c>
      <c r="AHQ16" s="17" t="s">
        <v>1030</v>
      </c>
      <c r="AHR16" s="14" t="s">
        <v>1023</v>
      </c>
      <c r="AHS16" s="17" t="s">
        <v>1023</v>
      </c>
      <c r="AHT16" s="14" t="s">
        <v>1031</v>
      </c>
      <c r="AHU16" s="17" t="s">
        <v>1027</v>
      </c>
      <c r="AHV16" s="14" t="s">
        <v>1025</v>
      </c>
      <c r="AHW16" s="17" t="s">
        <v>1026</v>
      </c>
      <c r="AHX16" s="14" t="s">
        <v>1023</v>
      </c>
      <c r="AHY16" s="17" t="s">
        <v>1023</v>
      </c>
      <c r="AHZ16" s="14" t="s">
        <v>1030</v>
      </c>
      <c r="AIA16" s="17" t="s">
        <v>1026</v>
      </c>
      <c r="AIB16" s="14" t="s">
        <v>1024</v>
      </c>
      <c r="AIC16" s="17" t="s">
        <v>1024</v>
      </c>
      <c r="AID16" s="14" t="s">
        <v>1031</v>
      </c>
      <c r="AIE16" s="17" t="s">
        <v>1025</v>
      </c>
      <c r="AIF16" s="14" t="s">
        <v>1024</v>
      </c>
      <c r="AIG16" s="17" t="s">
        <v>1031</v>
      </c>
      <c r="AIH16" s="14" t="s">
        <v>1024</v>
      </c>
      <c r="AII16" s="17" t="s">
        <v>1030</v>
      </c>
      <c r="AIJ16" s="14" t="s">
        <v>1026</v>
      </c>
      <c r="AIK16" s="17" t="s">
        <v>1030</v>
      </c>
      <c r="AIL16" s="14" t="s">
        <v>1029</v>
      </c>
      <c r="AIM16" s="17" t="s">
        <v>1030</v>
      </c>
      <c r="AIN16" s="14" t="s">
        <v>1026</v>
      </c>
      <c r="AIO16" s="17" t="s">
        <v>1024</v>
      </c>
      <c r="AIP16" s="14" t="s">
        <v>1027</v>
      </c>
      <c r="AIQ16" s="17" t="s">
        <v>1031</v>
      </c>
      <c r="AIR16" s="14" t="s">
        <v>1027</v>
      </c>
      <c r="AIS16" s="17" t="s">
        <v>1031</v>
      </c>
      <c r="AIT16" s="14" t="s">
        <v>1030</v>
      </c>
      <c r="AIU16" s="17" t="s">
        <v>1027</v>
      </c>
      <c r="AIV16" s="14" t="s">
        <v>1024</v>
      </c>
      <c r="AIW16" s="17" t="s">
        <v>1023</v>
      </c>
      <c r="AIX16" s="14" t="s">
        <v>1027</v>
      </c>
      <c r="AIY16" s="17" t="s">
        <v>1029</v>
      </c>
      <c r="AIZ16" s="14" t="s">
        <v>1030</v>
      </c>
      <c r="AJA16" s="17" t="s">
        <v>1031</v>
      </c>
      <c r="AJB16" s="14" t="s">
        <v>1031</v>
      </c>
      <c r="AJC16" s="17" t="s">
        <v>1026</v>
      </c>
      <c r="AJD16" s="14" t="s">
        <v>1024</v>
      </c>
      <c r="AJE16" s="17" t="s">
        <v>1031</v>
      </c>
      <c r="AJF16" s="14" t="s">
        <v>1029</v>
      </c>
      <c r="AJG16" s="17" t="s">
        <v>1026</v>
      </c>
      <c r="AJH16" s="14" t="s">
        <v>1025</v>
      </c>
      <c r="AJI16" s="17" t="s">
        <v>1023</v>
      </c>
      <c r="AJJ16" s="14" t="s">
        <v>1029</v>
      </c>
      <c r="AJK16" s="17" t="s">
        <v>1028</v>
      </c>
      <c r="AJL16" s="14" t="s">
        <v>1027</v>
      </c>
      <c r="AJM16" s="17" t="s">
        <v>1027</v>
      </c>
      <c r="AJN16" s="14" t="s">
        <v>1022</v>
      </c>
      <c r="AJO16" s="17" t="s">
        <v>1023</v>
      </c>
      <c r="AJP16" s="14" t="s">
        <v>1028</v>
      </c>
      <c r="AJQ16" s="17" t="s">
        <v>1028</v>
      </c>
      <c r="AJR16" s="14" t="s">
        <v>1027</v>
      </c>
      <c r="AJS16" s="17" t="s">
        <v>1026</v>
      </c>
      <c r="AJT16" s="14" t="s">
        <v>1024</v>
      </c>
      <c r="AJU16" s="17" t="s">
        <v>1022</v>
      </c>
      <c r="AJV16" s="14" t="s">
        <v>1031</v>
      </c>
      <c r="AJW16" s="17" t="s">
        <v>1023</v>
      </c>
      <c r="AJX16" s="14" t="s">
        <v>1024</v>
      </c>
      <c r="AJY16" s="17" t="s">
        <v>1030</v>
      </c>
      <c r="AJZ16" s="14" t="s">
        <v>1028</v>
      </c>
      <c r="AKA16" s="17" t="s">
        <v>1027</v>
      </c>
      <c r="AKB16" s="14" t="s">
        <v>1029</v>
      </c>
      <c r="AKC16" s="17" t="s">
        <v>1029</v>
      </c>
      <c r="AKD16" s="14" t="s">
        <v>1030</v>
      </c>
      <c r="AKE16" s="17" t="s">
        <v>1028</v>
      </c>
      <c r="AKF16" s="14" t="s">
        <v>1031</v>
      </c>
      <c r="AKG16" s="17" t="s">
        <v>1031</v>
      </c>
      <c r="AKH16" s="14" t="s">
        <v>1030</v>
      </c>
      <c r="AKI16" s="17" t="s">
        <v>1026</v>
      </c>
      <c r="AKJ16" s="14" t="s">
        <v>1031</v>
      </c>
      <c r="AKK16" s="17" t="s">
        <v>1023</v>
      </c>
      <c r="AKL16" s="14" t="s">
        <v>1022</v>
      </c>
      <c r="AKM16" s="17" t="s">
        <v>1023</v>
      </c>
      <c r="AKN16" s="14" t="s">
        <v>1025</v>
      </c>
      <c r="AKO16" s="17" t="s">
        <v>1029</v>
      </c>
      <c r="AKP16" s="14" t="s">
        <v>1028</v>
      </c>
      <c r="AKQ16" s="17" t="s">
        <v>1022</v>
      </c>
      <c r="AKR16" s="14" t="s">
        <v>1028</v>
      </c>
      <c r="AKS16" s="17" t="s">
        <v>1024</v>
      </c>
      <c r="AKT16" s="14" t="s">
        <v>1024</v>
      </c>
      <c r="AKU16" s="17" t="s">
        <v>1022</v>
      </c>
      <c r="AKV16" s="14" t="s">
        <v>1026</v>
      </c>
      <c r="AKW16" s="17" t="s">
        <v>1031</v>
      </c>
      <c r="AKX16" s="14" t="s">
        <v>1031</v>
      </c>
      <c r="AKY16" s="17" t="s">
        <v>1027</v>
      </c>
      <c r="AKZ16" s="14" t="s">
        <v>1031</v>
      </c>
      <c r="ALA16" s="17" t="s">
        <v>1026</v>
      </c>
      <c r="ALB16" s="14" t="s">
        <v>1031</v>
      </c>
      <c r="ALC16" s="17" t="s">
        <v>1031</v>
      </c>
      <c r="ALD16" s="14" t="s">
        <v>1023</v>
      </c>
      <c r="ALE16" s="17" t="s">
        <v>1026</v>
      </c>
      <c r="ALF16" s="14" t="s">
        <v>1031</v>
      </c>
      <c r="ALG16" s="17" t="s">
        <v>1029</v>
      </c>
      <c r="ALH16" s="14" t="s">
        <v>1026</v>
      </c>
      <c r="ALI16" s="17" t="s">
        <v>1024</v>
      </c>
      <c r="ALJ16" s="14" t="s">
        <v>1024</v>
      </c>
      <c r="ALK16" s="17" t="s">
        <v>1029</v>
      </c>
      <c r="ALL16" s="14" t="s">
        <v>1028</v>
      </c>
      <c r="ALM16" s="17" t="s">
        <v>1028</v>
      </c>
      <c r="ALN16" s="14" t="s">
        <v>1029</v>
      </c>
      <c r="ALO16" s="17" t="s">
        <v>1026</v>
      </c>
      <c r="ALP16" s="14" t="s">
        <v>1027</v>
      </c>
      <c r="ALQ16" s="17" t="s">
        <v>1027</v>
      </c>
      <c r="ALR16" s="14" t="s">
        <v>1025</v>
      </c>
      <c r="ALS16" s="17" t="s">
        <v>1028</v>
      </c>
      <c r="ALT16" s="14" t="s">
        <v>1028</v>
      </c>
      <c r="ALU16" s="17" t="s">
        <v>1022</v>
      </c>
      <c r="ALV16" s="14" t="s">
        <v>1031</v>
      </c>
      <c r="ALW16" s="17" t="s">
        <v>1023</v>
      </c>
      <c r="ALX16" s="14" t="s">
        <v>1023</v>
      </c>
      <c r="ALY16" s="21" t="s">
        <v>1029</v>
      </c>
    </row>
    <row r="17" spans="1:1013" x14ac:dyDescent="0.25">
      <c r="A17" t="s">
        <v>25</v>
      </c>
      <c r="B17" s="1">
        <v>44974</v>
      </c>
      <c r="C17" t="s">
        <v>1010</v>
      </c>
      <c r="D17" t="s">
        <v>1017</v>
      </c>
      <c r="E17" t="s">
        <v>1029</v>
      </c>
      <c r="F17" t="s">
        <v>1032</v>
      </c>
      <c r="G17">
        <v>9</v>
      </c>
      <c r="H17">
        <v>46522</v>
      </c>
      <c r="I17">
        <v>5</v>
      </c>
      <c r="J17" t="s">
        <v>1038</v>
      </c>
      <c r="K17">
        <v>397763.1</v>
      </c>
      <c r="N17" s="14" t="s">
        <v>1032</v>
      </c>
      <c r="O17" s="17" t="s">
        <v>1033</v>
      </c>
      <c r="P17" s="14" t="s">
        <v>1033</v>
      </c>
      <c r="Q17" s="17" t="s">
        <v>1034</v>
      </c>
      <c r="R17" s="14" t="s">
        <v>1034</v>
      </c>
      <c r="S17" s="17" t="s">
        <v>1034</v>
      </c>
      <c r="T17" s="14" t="s">
        <v>1033</v>
      </c>
      <c r="U17" s="17" t="s">
        <v>1034</v>
      </c>
      <c r="V17" s="14" t="s">
        <v>1034</v>
      </c>
      <c r="W17" s="17" t="s">
        <v>1033</v>
      </c>
      <c r="X17" s="14" t="s">
        <v>1034</v>
      </c>
      <c r="Y17" s="17" t="s">
        <v>1033</v>
      </c>
      <c r="Z17" s="14" t="s">
        <v>1032</v>
      </c>
      <c r="AA17" s="17" t="s">
        <v>1032</v>
      </c>
      <c r="AB17" s="14" t="s">
        <v>1034</v>
      </c>
      <c r="AC17" s="17" t="s">
        <v>1032</v>
      </c>
      <c r="AD17" s="14" t="s">
        <v>1032</v>
      </c>
      <c r="AE17" s="17" t="s">
        <v>1033</v>
      </c>
      <c r="AF17" s="14" t="s">
        <v>1033</v>
      </c>
      <c r="AG17" s="17" t="s">
        <v>1034</v>
      </c>
      <c r="AH17" s="14" t="s">
        <v>1033</v>
      </c>
      <c r="AI17" s="17" t="s">
        <v>1034</v>
      </c>
      <c r="AJ17" s="14" t="s">
        <v>1034</v>
      </c>
      <c r="AK17" s="17" t="s">
        <v>1033</v>
      </c>
      <c r="AL17" s="14" t="s">
        <v>1034</v>
      </c>
      <c r="AM17" s="17" t="s">
        <v>1032</v>
      </c>
      <c r="AN17" s="14" t="s">
        <v>1032</v>
      </c>
      <c r="AO17" s="17" t="s">
        <v>1032</v>
      </c>
      <c r="AP17" s="14" t="s">
        <v>1033</v>
      </c>
      <c r="AQ17" s="17" t="s">
        <v>1032</v>
      </c>
      <c r="AR17" s="14" t="s">
        <v>1034</v>
      </c>
      <c r="AS17" s="17" t="s">
        <v>1034</v>
      </c>
      <c r="AT17" s="14" t="s">
        <v>1034</v>
      </c>
      <c r="AU17" s="17" t="s">
        <v>1033</v>
      </c>
      <c r="AV17" s="14" t="s">
        <v>1032</v>
      </c>
      <c r="AW17" s="17" t="s">
        <v>1033</v>
      </c>
      <c r="AX17" s="14" t="s">
        <v>1034</v>
      </c>
      <c r="AY17" s="17" t="s">
        <v>1032</v>
      </c>
      <c r="AZ17" s="14" t="s">
        <v>1032</v>
      </c>
      <c r="BA17" s="17" t="s">
        <v>1032</v>
      </c>
      <c r="BB17" s="14" t="s">
        <v>1033</v>
      </c>
      <c r="BC17" s="17" t="s">
        <v>1032</v>
      </c>
      <c r="BD17" s="14" t="s">
        <v>1033</v>
      </c>
      <c r="BE17" s="17" t="s">
        <v>1032</v>
      </c>
      <c r="BF17" s="14" t="s">
        <v>1034</v>
      </c>
      <c r="BG17" s="17" t="s">
        <v>1033</v>
      </c>
      <c r="BH17" s="14" t="s">
        <v>1032</v>
      </c>
      <c r="BI17" s="17" t="s">
        <v>1033</v>
      </c>
      <c r="BJ17" s="14" t="s">
        <v>1032</v>
      </c>
      <c r="BK17" s="17" t="s">
        <v>1034</v>
      </c>
      <c r="BL17" s="14" t="s">
        <v>1034</v>
      </c>
      <c r="BM17" s="17" t="s">
        <v>1034</v>
      </c>
      <c r="BN17" s="14" t="s">
        <v>1032</v>
      </c>
      <c r="BO17" s="17" t="s">
        <v>1033</v>
      </c>
      <c r="BP17" s="14" t="s">
        <v>1033</v>
      </c>
      <c r="BQ17" s="17" t="s">
        <v>1034</v>
      </c>
      <c r="BR17" s="14" t="s">
        <v>1034</v>
      </c>
      <c r="BS17" s="17" t="s">
        <v>1034</v>
      </c>
      <c r="BT17" s="14" t="s">
        <v>1032</v>
      </c>
      <c r="BU17" s="17" t="s">
        <v>1033</v>
      </c>
      <c r="BV17" s="14" t="s">
        <v>1032</v>
      </c>
      <c r="BW17" s="17" t="s">
        <v>1034</v>
      </c>
      <c r="BX17" s="14" t="s">
        <v>1034</v>
      </c>
      <c r="BY17" s="17" t="s">
        <v>1032</v>
      </c>
      <c r="BZ17" s="14" t="s">
        <v>1034</v>
      </c>
      <c r="CA17" s="17" t="s">
        <v>1033</v>
      </c>
      <c r="CB17" s="14" t="s">
        <v>1034</v>
      </c>
      <c r="CC17" s="17" t="s">
        <v>1033</v>
      </c>
      <c r="CD17" s="14" t="s">
        <v>1034</v>
      </c>
      <c r="CE17" s="17" t="s">
        <v>1032</v>
      </c>
      <c r="CF17" s="14" t="s">
        <v>1034</v>
      </c>
      <c r="CG17" s="17" t="s">
        <v>1034</v>
      </c>
      <c r="CH17" s="14" t="s">
        <v>1032</v>
      </c>
      <c r="CI17" s="17" t="s">
        <v>1034</v>
      </c>
      <c r="CJ17" s="14" t="s">
        <v>1032</v>
      </c>
      <c r="CK17" s="17" t="s">
        <v>1032</v>
      </c>
      <c r="CL17" s="14" t="s">
        <v>1033</v>
      </c>
      <c r="CM17" s="17" t="s">
        <v>1034</v>
      </c>
      <c r="CN17" s="14" t="s">
        <v>1034</v>
      </c>
      <c r="CO17" s="17" t="s">
        <v>1034</v>
      </c>
      <c r="CP17" s="14" t="s">
        <v>1033</v>
      </c>
      <c r="CQ17" s="17" t="s">
        <v>1034</v>
      </c>
      <c r="CR17" s="14" t="s">
        <v>1033</v>
      </c>
      <c r="CS17" s="17" t="s">
        <v>1033</v>
      </c>
      <c r="CT17" s="14" t="s">
        <v>1034</v>
      </c>
      <c r="CU17" s="17" t="s">
        <v>1034</v>
      </c>
      <c r="CV17" s="14" t="s">
        <v>1032</v>
      </c>
      <c r="CW17" s="17" t="s">
        <v>1033</v>
      </c>
      <c r="CX17" s="14" t="s">
        <v>1033</v>
      </c>
      <c r="CY17" s="17" t="s">
        <v>1033</v>
      </c>
      <c r="CZ17" s="14" t="s">
        <v>1033</v>
      </c>
      <c r="DA17" s="17" t="s">
        <v>1033</v>
      </c>
      <c r="DB17" s="14" t="s">
        <v>1032</v>
      </c>
      <c r="DC17" s="17" t="s">
        <v>1032</v>
      </c>
      <c r="DD17" s="14" t="s">
        <v>1033</v>
      </c>
      <c r="DE17" s="17" t="s">
        <v>1034</v>
      </c>
      <c r="DF17" s="14" t="s">
        <v>1034</v>
      </c>
      <c r="DG17" s="17" t="s">
        <v>1034</v>
      </c>
      <c r="DH17" s="14" t="s">
        <v>1034</v>
      </c>
      <c r="DI17" s="17" t="s">
        <v>1033</v>
      </c>
      <c r="DJ17" s="14" t="s">
        <v>1034</v>
      </c>
      <c r="DK17" s="17" t="s">
        <v>1034</v>
      </c>
      <c r="DL17" s="14" t="s">
        <v>1033</v>
      </c>
      <c r="DM17" s="17" t="s">
        <v>1034</v>
      </c>
      <c r="DN17" s="14" t="s">
        <v>1034</v>
      </c>
      <c r="DO17" s="17" t="s">
        <v>1034</v>
      </c>
      <c r="DP17" s="14" t="s">
        <v>1034</v>
      </c>
      <c r="DQ17" s="17" t="s">
        <v>1032</v>
      </c>
      <c r="DR17" s="14" t="s">
        <v>1032</v>
      </c>
      <c r="DS17" s="17" t="s">
        <v>1032</v>
      </c>
      <c r="DT17" s="14" t="s">
        <v>1034</v>
      </c>
      <c r="DU17" s="17" t="s">
        <v>1034</v>
      </c>
      <c r="DV17" s="14" t="s">
        <v>1033</v>
      </c>
      <c r="DW17" s="17" t="s">
        <v>1034</v>
      </c>
      <c r="DX17" s="14" t="s">
        <v>1033</v>
      </c>
      <c r="DY17" s="17" t="s">
        <v>1034</v>
      </c>
      <c r="DZ17" s="14" t="s">
        <v>1032</v>
      </c>
      <c r="EA17" s="17" t="s">
        <v>1034</v>
      </c>
      <c r="EB17" s="14" t="s">
        <v>1034</v>
      </c>
      <c r="EC17" s="17" t="s">
        <v>1032</v>
      </c>
      <c r="ED17" s="14" t="s">
        <v>1034</v>
      </c>
      <c r="EE17" s="17" t="s">
        <v>1034</v>
      </c>
      <c r="EF17" s="14" t="s">
        <v>1034</v>
      </c>
      <c r="EG17" s="17" t="s">
        <v>1034</v>
      </c>
      <c r="EH17" s="14" t="s">
        <v>1033</v>
      </c>
      <c r="EI17" s="17" t="s">
        <v>1034</v>
      </c>
      <c r="EJ17" s="14" t="s">
        <v>1032</v>
      </c>
      <c r="EK17" s="17" t="s">
        <v>1033</v>
      </c>
      <c r="EL17" s="14" t="s">
        <v>1034</v>
      </c>
      <c r="EM17" s="17" t="s">
        <v>1033</v>
      </c>
      <c r="EN17" s="14" t="s">
        <v>1034</v>
      </c>
      <c r="EO17" s="17" t="s">
        <v>1034</v>
      </c>
      <c r="EP17" s="14" t="s">
        <v>1034</v>
      </c>
      <c r="EQ17" s="17" t="s">
        <v>1034</v>
      </c>
      <c r="ER17" s="14" t="s">
        <v>1033</v>
      </c>
      <c r="ES17" s="17" t="s">
        <v>1034</v>
      </c>
      <c r="ET17" s="14" t="s">
        <v>1034</v>
      </c>
      <c r="EU17" s="17" t="s">
        <v>1034</v>
      </c>
      <c r="EV17" s="14" t="s">
        <v>1033</v>
      </c>
      <c r="EW17" s="17" t="s">
        <v>1033</v>
      </c>
      <c r="EX17" s="14" t="s">
        <v>1032</v>
      </c>
      <c r="EY17" s="17" t="s">
        <v>1034</v>
      </c>
      <c r="EZ17" s="14" t="s">
        <v>1032</v>
      </c>
      <c r="FA17" s="17" t="s">
        <v>1032</v>
      </c>
      <c r="FB17" s="14" t="s">
        <v>1033</v>
      </c>
      <c r="FC17" s="17" t="s">
        <v>1032</v>
      </c>
      <c r="FD17" s="14" t="s">
        <v>1032</v>
      </c>
      <c r="FE17" s="17" t="s">
        <v>1034</v>
      </c>
      <c r="FF17" s="14" t="s">
        <v>1032</v>
      </c>
      <c r="FG17" s="17" t="s">
        <v>1032</v>
      </c>
      <c r="FH17" s="14" t="s">
        <v>1033</v>
      </c>
      <c r="FI17" s="17" t="s">
        <v>1032</v>
      </c>
      <c r="FJ17" s="14" t="s">
        <v>1033</v>
      </c>
      <c r="FK17" s="17" t="s">
        <v>1034</v>
      </c>
      <c r="FL17" s="14" t="s">
        <v>1033</v>
      </c>
      <c r="FM17" s="17" t="s">
        <v>1032</v>
      </c>
      <c r="FN17" s="14" t="s">
        <v>1032</v>
      </c>
      <c r="FO17" s="17" t="s">
        <v>1034</v>
      </c>
      <c r="FP17" s="14" t="s">
        <v>1033</v>
      </c>
      <c r="FQ17" s="17" t="s">
        <v>1032</v>
      </c>
      <c r="FR17" s="14" t="s">
        <v>1034</v>
      </c>
      <c r="FS17" s="17" t="s">
        <v>1032</v>
      </c>
      <c r="FT17" s="14" t="s">
        <v>1033</v>
      </c>
      <c r="FU17" s="17" t="s">
        <v>1033</v>
      </c>
      <c r="FV17" s="14" t="s">
        <v>1032</v>
      </c>
      <c r="FW17" s="17" t="s">
        <v>1034</v>
      </c>
      <c r="FX17" s="14" t="s">
        <v>1034</v>
      </c>
      <c r="FY17" s="17" t="s">
        <v>1034</v>
      </c>
      <c r="FZ17" s="14" t="s">
        <v>1034</v>
      </c>
      <c r="GA17" s="17" t="s">
        <v>1032</v>
      </c>
      <c r="GB17" s="14" t="s">
        <v>1034</v>
      </c>
      <c r="GC17" s="17" t="s">
        <v>1034</v>
      </c>
      <c r="GD17" s="14" t="s">
        <v>1034</v>
      </c>
      <c r="GE17" s="17" t="s">
        <v>1033</v>
      </c>
      <c r="GF17" s="14" t="s">
        <v>1032</v>
      </c>
      <c r="GG17" s="17" t="s">
        <v>1034</v>
      </c>
      <c r="GH17" s="14" t="s">
        <v>1034</v>
      </c>
      <c r="GI17" s="17" t="s">
        <v>1033</v>
      </c>
      <c r="GJ17" s="14" t="s">
        <v>1034</v>
      </c>
      <c r="GK17" s="17" t="s">
        <v>1034</v>
      </c>
      <c r="GL17" s="14" t="s">
        <v>1032</v>
      </c>
      <c r="GM17" s="17" t="s">
        <v>1033</v>
      </c>
      <c r="GN17" s="14" t="s">
        <v>1033</v>
      </c>
      <c r="GO17" s="17" t="s">
        <v>1033</v>
      </c>
      <c r="GP17" s="14" t="s">
        <v>1034</v>
      </c>
      <c r="GQ17" s="17" t="s">
        <v>1033</v>
      </c>
      <c r="GR17" s="14" t="s">
        <v>1034</v>
      </c>
      <c r="GS17" s="17" t="s">
        <v>1032</v>
      </c>
      <c r="GT17" s="14" t="s">
        <v>1032</v>
      </c>
      <c r="GU17" s="17" t="s">
        <v>1034</v>
      </c>
      <c r="GV17" s="14" t="s">
        <v>1033</v>
      </c>
      <c r="GW17" s="17" t="s">
        <v>1032</v>
      </c>
      <c r="GX17" s="14" t="s">
        <v>1034</v>
      </c>
      <c r="GY17" s="17" t="s">
        <v>1033</v>
      </c>
      <c r="GZ17" s="14" t="s">
        <v>1032</v>
      </c>
      <c r="HA17" s="17" t="s">
        <v>1034</v>
      </c>
      <c r="HB17" s="14" t="s">
        <v>1034</v>
      </c>
      <c r="HC17" s="17" t="s">
        <v>1034</v>
      </c>
      <c r="HD17" s="14" t="s">
        <v>1034</v>
      </c>
      <c r="HE17" s="17" t="s">
        <v>1033</v>
      </c>
      <c r="HF17" s="14" t="s">
        <v>1034</v>
      </c>
      <c r="HG17" s="17" t="s">
        <v>1034</v>
      </c>
      <c r="HH17" s="14" t="s">
        <v>1034</v>
      </c>
      <c r="HI17" s="17" t="s">
        <v>1034</v>
      </c>
      <c r="HJ17" s="14" t="s">
        <v>1032</v>
      </c>
      <c r="HK17" s="17" t="s">
        <v>1034</v>
      </c>
      <c r="HL17" s="14" t="s">
        <v>1032</v>
      </c>
      <c r="HM17" s="17" t="s">
        <v>1033</v>
      </c>
      <c r="HN17" s="14" t="s">
        <v>1033</v>
      </c>
      <c r="HO17" s="17" t="s">
        <v>1032</v>
      </c>
      <c r="HP17" s="14" t="s">
        <v>1034</v>
      </c>
      <c r="HQ17" s="17" t="s">
        <v>1032</v>
      </c>
      <c r="HR17" s="14" t="s">
        <v>1032</v>
      </c>
      <c r="HS17" s="17" t="s">
        <v>1032</v>
      </c>
      <c r="HT17" s="14" t="s">
        <v>1034</v>
      </c>
      <c r="HU17" s="17" t="s">
        <v>1034</v>
      </c>
      <c r="HV17" s="14" t="s">
        <v>1032</v>
      </c>
      <c r="HW17" s="17" t="s">
        <v>1033</v>
      </c>
      <c r="HX17" s="14" t="s">
        <v>1032</v>
      </c>
      <c r="HY17" s="17" t="s">
        <v>1033</v>
      </c>
      <c r="HZ17" s="14" t="s">
        <v>1033</v>
      </c>
      <c r="IA17" s="17" t="s">
        <v>1034</v>
      </c>
      <c r="IB17" s="14" t="s">
        <v>1033</v>
      </c>
      <c r="IC17" s="17" t="s">
        <v>1032</v>
      </c>
      <c r="ID17" s="14" t="s">
        <v>1032</v>
      </c>
      <c r="IE17" s="17" t="s">
        <v>1034</v>
      </c>
      <c r="IF17" s="14" t="s">
        <v>1033</v>
      </c>
      <c r="IG17" s="17" t="s">
        <v>1032</v>
      </c>
      <c r="IH17" s="14" t="s">
        <v>1033</v>
      </c>
      <c r="II17" s="17" t="s">
        <v>1033</v>
      </c>
      <c r="IJ17" s="14" t="s">
        <v>1034</v>
      </c>
      <c r="IK17" s="17" t="s">
        <v>1032</v>
      </c>
      <c r="IL17" s="14" t="s">
        <v>1032</v>
      </c>
      <c r="IM17" s="17" t="s">
        <v>1032</v>
      </c>
      <c r="IN17" s="14" t="s">
        <v>1033</v>
      </c>
      <c r="IO17" s="17" t="s">
        <v>1034</v>
      </c>
      <c r="IP17" s="14" t="s">
        <v>1032</v>
      </c>
      <c r="IQ17" s="17" t="s">
        <v>1034</v>
      </c>
      <c r="IR17" s="14" t="s">
        <v>1034</v>
      </c>
      <c r="IS17" s="17" t="s">
        <v>1034</v>
      </c>
      <c r="IT17" s="14" t="s">
        <v>1033</v>
      </c>
      <c r="IU17" s="17" t="s">
        <v>1033</v>
      </c>
      <c r="IV17" s="14" t="s">
        <v>1034</v>
      </c>
      <c r="IW17" s="17" t="s">
        <v>1034</v>
      </c>
      <c r="IX17" s="14" t="s">
        <v>1033</v>
      </c>
      <c r="IY17" s="17" t="s">
        <v>1032</v>
      </c>
      <c r="IZ17" s="14" t="s">
        <v>1034</v>
      </c>
      <c r="JA17" s="17" t="s">
        <v>1033</v>
      </c>
      <c r="JB17" s="14" t="s">
        <v>1034</v>
      </c>
      <c r="JC17" s="17" t="s">
        <v>1032</v>
      </c>
      <c r="JD17" s="14" t="s">
        <v>1032</v>
      </c>
      <c r="JE17" s="17" t="s">
        <v>1034</v>
      </c>
      <c r="JF17" s="14" t="s">
        <v>1032</v>
      </c>
      <c r="JG17" s="17" t="s">
        <v>1034</v>
      </c>
      <c r="JH17" s="14" t="s">
        <v>1032</v>
      </c>
      <c r="JI17" s="17" t="s">
        <v>1033</v>
      </c>
      <c r="JJ17" s="14" t="s">
        <v>1034</v>
      </c>
      <c r="JK17" s="17" t="s">
        <v>1034</v>
      </c>
      <c r="JL17" s="14" t="s">
        <v>1033</v>
      </c>
      <c r="JM17" s="17" t="s">
        <v>1032</v>
      </c>
      <c r="JN17" s="14" t="s">
        <v>1033</v>
      </c>
      <c r="JO17" s="17" t="s">
        <v>1032</v>
      </c>
      <c r="JP17" s="14" t="s">
        <v>1032</v>
      </c>
      <c r="JQ17" s="17" t="s">
        <v>1034</v>
      </c>
      <c r="JR17" s="14" t="s">
        <v>1033</v>
      </c>
      <c r="JS17" s="17" t="s">
        <v>1033</v>
      </c>
      <c r="JT17" s="14" t="s">
        <v>1033</v>
      </c>
      <c r="JU17" s="17" t="s">
        <v>1033</v>
      </c>
      <c r="JV17" s="14" t="s">
        <v>1032</v>
      </c>
      <c r="JW17" s="17" t="s">
        <v>1034</v>
      </c>
      <c r="JX17" s="14" t="s">
        <v>1034</v>
      </c>
      <c r="JY17" s="17" t="s">
        <v>1033</v>
      </c>
      <c r="JZ17" s="14" t="s">
        <v>1034</v>
      </c>
      <c r="KA17" s="17" t="s">
        <v>1034</v>
      </c>
      <c r="KB17" s="14" t="s">
        <v>1032</v>
      </c>
      <c r="KC17" s="17" t="s">
        <v>1032</v>
      </c>
      <c r="KD17" s="14" t="s">
        <v>1034</v>
      </c>
      <c r="KE17" s="17" t="s">
        <v>1033</v>
      </c>
      <c r="KF17" s="14" t="s">
        <v>1033</v>
      </c>
      <c r="KG17" s="17" t="s">
        <v>1032</v>
      </c>
      <c r="KH17" s="14" t="s">
        <v>1034</v>
      </c>
      <c r="KI17" s="17" t="s">
        <v>1034</v>
      </c>
      <c r="KJ17" s="14" t="s">
        <v>1034</v>
      </c>
      <c r="KK17" s="17" t="s">
        <v>1032</v>
      </c>
      <c r="KL17" s="14" t="s">
        <v>1032</v>
      </c>
      <c r="KM17" s="17" t="s">
        <v>1034</v>
      </c>
      <c r="KN17" s="14" t="s">
        <v>1033</v>
      </c>
      <c r="KO17" s="17" t="s">
        <v>1033</v>
      </c>
      <c r="KP17" s="14" t="s">
        <v>1032</v>
      </c>
      <c r="KQ17" s="17" t="s">
        <v>1033</v>
      </c>
      <c r="KR17" s="14" t="s">
        <v>1033</v>
      </c>
      <c r="KS17" s="17" t="s">
        <v>1034</v>
      </c>
      <c r="KT17" s="14" t="s">
        <v>1034</v>
      </c>
      <c r="KU17" s="17" t="s">
        <v>1033</v>
      </c>
      <c r="KV17" s="14" t="s">
        <v>1032</v>
      </c>
      <c r="KW17" s="17" t="s">
        <v>1034</v>
      </c>
      <c r="KX17" s="14" t="s">
        <v>1033</v>
      </c>
      <c r="KY17" s="17" t="s">
        <v>1034</v>
      </c>
      <c r="KZ17" s="14" t="s">
        <v>1034</v>
      </c>
      <c r="LA17" s="17" t="s">
        <v>1033</v>
      </c>
      <c r="LB17" s="14" t="s">
        <v>1033</v>
      </c>
      <c r="LC17" s="17" t="s">
        <v>1032</v>
      </c>
      <c r="LD17" s="14" t="s">
        <v>1033</v>
      </c>
      <c r="LE17" s="17" t="s">
        <v>1034</v>
      </c>
      <c r="LF17" s="14" t="s">
        <v>1032</v>
      </c>
      <c r="LG17" s="17" t="s">
        <v>1033</v>
      </c>
      <c r="LH17" s="14" t="s">
        <v>1034</v>
      </c>
      <c r="LI17" s="17" t="s">
        <v>1032</v>
      </c>
      <c r="LJ17" s="14" t="s">
        <v>1032</v>
      </c>
      <c r="LK17" s="17" t="s">
        <v>1032</v>
      </c>
      <c r="LL17" s="14" t="s">
        <v>1034</v>
      </c>
      <c r="LM17" s="17" t="s">
        <v>1034</v>
      </c>
      <c r="LN17" s="14" t="s">
        <v>1032</v>
      </c>
      <c r="LO17" s="17" t="s">
        <v>1034</v>
      </c>
      <c r="LP17" s="14" t="s">
        <v>1032</v>
      </c>
      <c r="LQ17" s="17" t="s">
        <v>1032</v>
      </c>
      <c r="LR17" s="14" t="s">
        <v>1034</v>
      </c>
      <c r="LS17" s="17" t="s">
        <v>1034</v>
      </c>
      <c r="LT17" s="14" t="s">
        <v>1032</v>
      </c>
      <c r="LU17" s="17" t="s">
        <v>1034</v>
      </c>
      <c r="LV17" s="14" t="s">
        <v>1033</v>
      </c>
      <c r="LW17" s="17" t="s">
        <v>1032</v>
      </c>
      <c r="LX17" s="14" t="s">
        <v>1032</v>
      </c>
      <c r="LY17" s="17" t="s">
        <v>1034</v>
      </c>
      <c r="LZ17" s="14" t="s">
        <v>1034</v>
      </c>
      <c r="MA17" s="17" t="s">
        <v>1034</v>
      </c>
      <c r="MB17" s="14" t="s">
        <v>1033</v>
      </c>
      <c r="MC17" s="17" t="s">
        <v>1034</v>
      </c>
      <c r="MD17" s="14" t="s">
        <v>1032</v>
      </c>
      <c r="ME17" s="17" t="s">
        <v>1034</v>
      </c>
      <c r="MF17" s="14" t="s">
        <v>1034</v>
      </c>
      <c r="MG17" s="17" t="s">
        <v>1032</v>
      </c>
      <c r="MH17" s="14" t="s">
        <v>1032</v>
      </c>
      <c r="MI17" s="17" t="s">
        <v>1033</v>
      </c>
      <c r="MJ17" s="14" t="s">
        <v>1034</v>
      </c>
      <c r="MK17" s="17" t="s">
        <v>1033</v>
      </c>
      <c r="ML17" s="14" t="s">
        <v>1032</v>
      </c>
      <c r="MM17" s="17" t="s">
        <v>1032</v>
      </c>
      <c r="MN17" s="14" t="s">
        <v>1032</v>
      </c>
      <c r="MO17" s="17" t="s">
        <v>1032</v>
      </c>
      <c r="MP17" s="14" t="s">
        <v>1032</v>
      </c>
      <c r="MQ17" s="17" t="s">
        <v>1033</v>
      </c>
      <c r="MR17" s="14" t="s">
        <v>1034</v>
      </c>
      <c r="MS17" s="17" t="s">
        <v>1032</v>
      </c>
      <c r="MT17" s="14" t="s">
        <v>1034</v>
      </c>
      <c r="MU17" s="17" t="s">
        <v>1032</v>
      </c>
      <c r="MV17" s="14" t="s">
        <v>1033</v>
      </c>
      <c r="MW17" s="17" t="s">
        <v>1033</v>
      </c>
      <c r="MX17" s="14" t="s">
        <v>1033</v>
      </c>
      <c r="MY17" s="17" t="s">
        <v>1033</v>
      </c>
      <c r="MZ17" s="14" t="s">
        <v>1034</v>
      </c>
      <c r="NA17" s="17" t="s">
        <v>1033</v>
      </c>
      <c r="NB17" s="14" t="s">
        <v>1033</v>
      </c>
      <c r="NC17" s="17" t="s">
        <v>1033</v>
      </c>
      <c r="ND17" s="14" t="s">
        <v>1032</v>
      </c>
      <c r="NE17" s="17" t="s">
        <v>1033</v>
      </c>
      <c r="NF17" s="14" t="s">
        <v>1034</v>
      </c>
      <c r="NG17" s="17" t="s">
        <v>1032</v>
      </c>
      <c r="NH17" s="14" t="s">
        <v>1034</v>
      </c>
      <c r="NI17" s="17" t="s">
        <v>1032</v>
      </c>
      <c r="NJ17" s="14" t="s">
        <v>1034</v>
      </c>
      <c r="NK17" s="17" t="s">
        <v>1034</v>
      </c>
      <c r="NL17" s="14" t="s">
        <v>1034</v>
      </c>
      <c r="NM17" s="17" t="s">
        <v>1032</v>
      </c>
      <c r="NN17" s="14" t="s">
        <v>1034</v>
      </c>
      <c r="NO17" s="17" t="s">
        <v>1034</v>
      </c>
      <c r="NP17" s="14" t="s">
        <v>1032</v>
      </c>
      <c r="NQ17" s="17" t="s">
        <v>1034</v>
      </c>
      <c r="NR17" s="14" t="s">
        <v>1032</v>
      </c>
      <c r="NS17" s="17" t="s">
        <v>1033</v>
      </c>
      <c r="NT17" s="14" t="s">
        <v>1034</v>
      </c>
      <c r="NU17" s="17" t="s">
        <v>1032</v>
      </c>
      <c r="NV17" s="14" t="s">
        <v>1033</v>
      </c>
      <c r="NW17" s="17" t="s">
        <v>1034</v>
      </c>
      <c r="NX17" s="14" t="s">
        <v>1033</v>
      </c>
      <c r="NY17" s="17" t="s">
        <v>1034</v>
      </c>
      <c r="NZ17" s="14" t="s">
        <v>1032</v>
      </c>
      <c r="OA17" s="17" t="s">
        <v>1033</v>
      </c>
      <c r="OB17" s="14" t="s">
        <v>1033</v>
      </c>
      <c r="OC17" s="17" t="s">
        <v>1033</v>
      </c>
      <c r="OD17" s="14" t="s">
        <v>1033</v>
      </c>
      <c r="OE17" s="17" t="s">
        <v>1034</v>
      </c>
      <c r="OF17" s="14" t="s">
        <v>1032</v>
      </c>
      <c r="OG17" s="17" t="s">
        <v>1033</v>
      </c>
      <c r="OH17" s="14" t="s">
        <v>1032</v>
      </c>
      <c r="OI17" s="17" t="s">
        <v>1034</v>
      </c>
      <c r="OJ17" s="14" t="s">
        <v>1032</v>
      </c>
      <c r="OK17" s="17" t="s">
        <v>1032</v>
      </c>
      <c r="OL17" s="14" t="s">
        <v>1034</v>
      </c>
      <c r="OM17" s="17" t="s">
        <v>1033</v>
      </c>
      <c r="ON17" s="14" t="s">
        <v>1034</v>
      </c>
      <c r="OO17" s="17" t="s">
        <v>1033</v>
      </c>
      <c r="OP17" s="14" t="s">
        <v>1034</v>
      </c>
      <c r="OQ17" s="17" t="s">
        <v>1032</v>
      </c>
      <c r="OR17" s="14" t="s">
        <v>1033</v>
      </c>
      <c r="OS17" s="17" t="s">
        <v>1034</v>
      </c>
      <c r="OT17" s="14" t="s">
        <v>1034</v>
      </c>
      <c r="OU17" s="17" t="s">
        <v>1034</v>
      </c>
      <c r="OV17" s="14" t="s">
        <v>1033</v>
      </c>
      <c r="OW17" s="17" t="s">
        <v>1032</v>
      </c>
      <c r="OX17" s="14" t="s">
        <v>1034</v>
      </c>
      <c r="OY17" s="17" t="s">
        <v>1034</v>
      </c>
      <c r="OZ17" s="14" t="s">
        <v>1032</v>
      </c>
      <c r="PA17" s="17" t="s">
        <v>1032</v>
      </c>
      <c r="PB17" s="14" t="s">
        <v>1032</v>
      </c>
      <c r="PC17" s="17" t="s">
        <v>1032</v>
      </c>
      <c r="PD17" s="14" t="s">
        <v>1034</v>
      </c>
      <c r="PE17" s="17" t="s">
        <v>1034</v>
      </c>
      <c r="PF17" s="14" t="s">
        <v>1033</v>
      </c>
      <c r="PG17" s="17" t="s">
        <v>1034</v>
      </c>
      <c r="PH17" s="14" t="s">
        <v>1034</v>
      </c>
      <c r="PI17" s="17" t="s">
        <v>1032</v>
      </c>
      <c r="PJ17" s="14" t="s">
        <v>1033</v>
      </c>
      <c r="PK17" s="17" t="s">
        <v>1032</v>
      </c>
      <c r="PL17" s="14" t="s">
        <v>1034</v>
      </c>
      <c r="PM17" s="17" t="s">
        <v>1034</v>
      </c>
      <c r="PN17" s="14" t="s">
        <v>1034</v>
      </c>
      <c r="PO17" s="17" t="s">
        <v>1033</v>
      </c>
      <c r="PP17" s="14" t="s">
        <v>1032</v>
      </c>
      <c r="PQ17" s="17" t="s">
        <v>1033</v>
      </c>
      <c r="PR17" s="14" t="s">
        <v>1034</v>
      </c>
      <c r="PS17" s="17" t="s">
        <v>1034</v>
      </c>
      <c r="PT17" s="14" t="s">
        <v>1032</v>
      </c>
      <c r="PU17" s="17" t="s">
        <v>1032</v>
      </c>
      <c r="PV17" s="14" t="s">
        <v>1032</v>
      </c>
      <c r="PW17" s="17" t="s">
        <v>1032</v>
      </c>
      <c r="PX17" s="14" t="s">
        <v>1034</v>
      </c>
      <c r="PY17" s="17" t="s">
        <v>1033</v>
      </c>
      <c r="PZ17" s="14" t="s">
        <v>1032</v>
      </c>
      <c r="QA17" s="17" t="s">
        <v>1032</v>
      </c>
      <c r="QB17" s="14" t="s">
        <v>1032</v>
      </c>
      <c r="QC17" s="17" t="s">
        <v>1034</v>
      </c>
      <c r="QD17" s="14" t="s">
        <v>1034</v>
      </c>
      <c r="QE17" s="17" t="s">
        <v>1032</v>
      </c>
      <c r="QF17" s="14" t="s">
        <v>1034</v>
      </c>
      <c r="QG17" s="17" t="s">
        <v>1033</v>
      </c>
      <c r="QH17" s="14" t="s">
        <v>1034</v>
      </c>
      <c r="QI17" s="17" t="s">
        <v>1034</v>
      </c>
      <c r="QJ17" s="14" t="s">
        <v>1032</v>
      </c>
      <c r="QK17" s="17" t="s">
        <v>1033</v>
      </c>
      <c r="QL17" s="14" t="s">
        <v>1034</v>
      </c>
      <c r="QM17" s="17" t="s">
        <v>1032</v>
      </c>
      <c r="QN17" s="14" t="s">
        <v>1033</v>
      </c>
      <c r="QO17" s="17" t="s">
        <v>1032</v>
      </c>
      <c r="QP17" s="14" t="s">
        <v>1032</v>
      </c>
      <c r="QQ17" s="17" t="s">
        <v>1034</v>
      </c>
      <c r="QR17" s="14" t="s">
        <v>1034</v>
      </c>
      <c r="QS17" s="17" t="s">
        <v>1033</v>
      </c>
      <c r="QT17" s="14" t="s">
        <v>1033</v>
      </c>
      <c r="QU17" s="17" t="s">
        <v>1033</v>
      </c>
      <c r="QV17" s="14" t="s">
        <v>1032</v>
      </c>
      <c r="QW17" s="17" t="s">
        <v>1034</v>
      </c>
      <c r="QX17" s="14" t="s">
        <v>1034</v>
      </c>
      <c r="QY17" s="17" t="s">
        <v>1032</v>
      </c>
      <c r="QZ17" s="14" t="s">
        <v>1032</v>
      </c>
      <c r="RA17" s="17" t="s">
        <v>1033</v>
      </c>
      <c r="RB17" s="14" t="s">
        <v>1034</v>
      </c>
      <c r="RC17" s="17" t="s">
        <v>1032</v>
      </c>
      <c r="RD17" s="14" t="s">
        <v>1032</v>
      </c>
      <c r="RE17" s="17" t="s">
        <v>1033</v>
      </c>
      <c r="RF17" s="14" t="s">
        <v>1033</v>
      </c>
      <c r="RG17" s="17" t="s">
        <v>1033</v>
      </c>
      <c r="RH17" s="14" t="s">
        <v>1033</v>
      </c>
      <c r="RI17" s="17" t="s">
        <v>1034</v>
      </c>
      <c r="RJ17" s="14" t="s">
        <v>1034</v>
      </c>
      <c r="RK17" s="17" t="s">
        <v>1033</v>
      </c>
      <c r="RL17" s="14" t="s">
        <v>1034</v>
      </c>
      <c r="RM17" s="17" t="s">
        <v>1034</v>
      </c>
      <c r="RN17" s="14" t="s">
        <v>1032</v>
      </c>
      <c r="RO17" s="17" t="s">
        <v>1034</v>
      </c>
      <c r="RP17" s="14" t="s">
        <v>1034</v>
      </c>
      <c r="RQ17" s="17" t="s">
        <v>1033</v>
      </c>
      <c r="RR17" s="14" t="s">
        <v>1033</v>
      </c>
      <c r="RS17" s="17" t="s">
        <v>1033</v>
      </c>
      <c r="RT17" s="14" t="s">
        <v>1032</v>
      </c>
      <c r="RU17" s="17" t="s">
        <v>1032</v>
      </c>
      <c r="RV17" s="14" t="s">
        <v>1033</v>
      </c>
      <c r="RW17" s="17" t="s">
        <v>1032</v>
      </c>
      <c r="RX17" s="14" t="s">
        <v>1032</v>
      </c>
      <c r="RY17" s="17" t="s">
        <v>1034</v>
      </c>
      <c r="RZ17" s="14" t="s">
        <v>1034</v>
      </c>
      <c r="SA17" s="17" t="s">
        <v>1034</v>
      </c>
      <c r="SB17" s="14" t="s">
        <v>1033</v>
      </c>
      <c r="SC17" s="17" t="s">
        <v>1033</v>
      </c>
      <c r="SD17" s="14" t="s">
        <v>1033</v>
      </c>
      <c r="SE17" s="17" t="s">
        <v>1032</v>
      </c>
      <c r="SF17" s="14" t="s">
        <v>1034</v>
      </c>
      <c r="SG17" s="17" t="s">
        <v>1034</v>
      </c>
      <c r="SH17" s="14" t="s">
        <v>1033</v>
      </c>
      <c r="SI17" s="17" t="s">
        <v>1033</v>
      </c>
      <c r="SJ17" s="14" t="s">
        <v>1033</v>
      </c>
      <c r="SK17" s="17" t="s">
        <v>1033</v>
      </c>
      <c r="SL17" s="14" t="s">
        <v>1033</v>
      </c>
      <c r="SM17" s="17" t="s">
        <v>1033</v>
      </c>
      <c r="SN17" s="14" t="s">
        <v>1033</v>
      </c>
      <c r="SO17" s="17" t="s">
        <v>1034</v>
      </c>
      <c r="SP17" s="14" t="s">
        <v>1032</v>
      </c>
      <c r="SQ17" s="17" t="s">
        <v>1032</v>
      </c>
      <c r="SR17" s="14" t="s">
        <v>1034</v>
      </c>
      <c r="SS17" s="17" t="s">
        <v>1034</v>
      </c>
      <c r="ST17" s="14" t="s">
        <v>1032</v>
      </c>
      <c r="SU17" s="17" t="s">
        <v>1033</v>
      </c>
      <c r="SV17" s="14" t="s">
        <v>1032</v>
      </c>
      <c r="SW17" s="17" t="s">
        <v>1034</v>
      </c>
      <c r="SX17" s="14" t="s">
        <v>1032</v>
      </c>
      <c r="SY17" s="17" t="s">
        <v>1033</v>
      </c>
      <c r="SZ17" s="14" t="s">
        <v>1034</v>
      </c>
      <c r="TA17" s="17" t="s">
        <v>1034</v>
      </c>
      <c r="TB17" s="14" t="s">
        <v>1032</v>
      </c>
      <c r="TC17" s="17" t="s">
        <v>1034</v>
      </c>
      <c r="TD17" s="14" t="s">
        <v>1032</v>
      </c>
      <c r="TE17" s="17" t="s">
        <v>1032</v>
      </c>
      <c r="TF17" s="14" t="s">
        <v>1034</v>
      </c>
      <c r="TG17" s="17" t="s">
        <v>1034</v>
      </c>
      <c r="TH17" s="14" t="s">
        <v>1032</v>
      </c>
      <c r="TI17" s="17" t="s">
        <v>1034</v>
      </c>
      <c r="TJ17" s="14" t="s">
        <v>1034</v>
      </c>
      <c r="TK17" s="17" t="s">
        <v>1033</v>
      </c>
      <c r="TL17" s="14" t="s">
        <v>1034</v>
      </c>
      <c r="TM17" s="17" t="s">
        <v>1032</v>
      </c>
      <c r="TN17" s="14" t="s">
        <v>1032</v>
      </c>
      <c r="TO17" s="17" t="s">
        <v>1034</v>
      </c>
      <c r="TP17" s="14" t="s">
        <v>1033</v>
      </c>
      <c r="TQ17" s="17" t="s">
        <v>1034</v>
      </c>
      <c r="TR17" s="14" t="s">
        <v>1034</v>
      </c>
      <c r="TS17" s="17" t="s">
        <v>1033</v>
      </c>
      <c r="TT17" s="14" t="s">
        <v>1034</v>
      </c>
      <c r="TU17" s="17" t="s">
        <v>1032</v>
      </c>
      <c r="TV17" s="14" t="s">
        <v>1033</v>
      </c>
      <c r="TW17" s="17" t="s">
        <v>1033</v>
      </c>
      <c r="TX17" s="14" t="s">
        <v>1032</v>
      </c>
      <c r="TY17" s="17" t="s">
        <v>1034</v>
      </c>
      <c r="TZ17" s="14" t="s">
        <v>1034</v>
      </c>
      <c r="UA17" s="17" t="s">
        <v>1033</v>
      </c>
      <c r="UB17" s="14" t="s">
        <v>1032</v>
      </c>
      <c r="UC17" s="17" t="s">
        <v>1033</v>
      </c>
      <c r="UD17" s="14" t="s">
        <v>1034</v>
      </c>
      <c r="UE17" s="17" t="s">
        <v>1034</v>
      </c>
      <c r="UF17" s="14" t="s">
        <v>1032</v>
      </c>
      <c r="UG17" s="17" t="s">
        <v>1033</v>
      </c>
      <c r="UH17" s="14" t="s">
        <v>1033</v>
      </c>
      <c r="UI17" s="17" t="s">
        <v>1034</v>
      </c>
      <c r="UJ17" s="14" t="s">
        <v>1032</v>
      </c>
      <c r="UK17" s="17" t="s">
        <v>1034</v>
      </c>
      <c r="UL17" s="14" t="s">
        <v>1032</v>
      </c>
      <c r="UM17" s="17" t="s">
        <v>1034</v>
      </c>
      <c r="UN17" s="14" t="s">
        <v>1034</v>
      </c>
      <c r="UO17" s="17" t="s">
        <v>1032</v>
      </c>
      <c r="UP17" s="14" t="s">
        <v>1034</v>
      </c>
      <c r="UQ17" s="17" t="s">
        <v>1032</v>
      </c>
      <c r="UR17" s="14" t="s">
        <v>1033</v>
      </c>
      <c r="US17" s="17" t="s">
        <v>1032</v>
      </c>
      <c r="UT17" s="14" t="s">
        <v>1032</v>
      </c>
      <c r="UU17" s="17" t="s">
        <v>1034</v>
      </c>
      <c r="UV17" s="14" t="s">
        <v>1034</v>
      </c>
      <c r="UW17" s="17" t="s">
        <v>1034</v>
      </c>
      <c r="UX17" s="14" t="s">
        <v>1032</v>
      </c>
      <c r="UY17" s="17" t="s">
        <v>1034</v>
      </c>
      <c r="UZ17" s="14" t="s">
        <v>1034</v>
      </c>
      <c r="VA17" s="17" t="s">
        <v>1033</v>
      </c>
      <c r="VB17" s="14" t="s">
        <v>1033</v>
      </c>
      <c r="VC17" s="17" t="s">
        <v>1032</v>
      </c>
      <c r="VD17" s="14" t="s">
        <v>1032</v>
      </c>
      <c r="VE17" s="17" t="s">
        <v>1033</v>
      </c>
      <c r="VF17" s="14" t="s">
        <v>1032</v>
      </c>
      <c r="VG17" s="17" t="s">
        <v>1032</v>
      </c>
      <c r="VH17" s="14" t="s">
        <v>1033</v>
      </c>
      <c r="VI17" s="17" t="s">
        <v>1033</v>
      </c>
      <c r="VJ17" s="14" t="s">
        <v>1032</v>
      </c>
      <c r="VK17" s="17" t="s">
        <v>1032</v>
      </c>
      <c r="VL17" s="14" t="s">
        <v>1034</v>
      </c>
      <c r="VM17" s="17" t="s">
        <v>1032</v>
      </c>
      <c r="VN17" s="14" t="s">
        <v>1034</v>
      </c>
      <c r="VO17" s="17" t="s">
        <v>1033</v>
      </c>
      <c r="VP17" s="14" t="s">
        <v>1033</v>
      </c>
      <c r="VQ17" s="17" t="s">
        <v>1033</v>
      </c>
      <c r="VR17" s="14" t="s">
        <v>1033</v>
      </c>
      <c r="VS17" s="17" t="s">
        <v>1032</v>
      </c>
      <c r="VT17" s="14" t="s">
        <v>1032</v>
      </c>
      <c r="VU17" s="17" t="s">
        <v>1034</v>
      </c>
      <c r="VV17" s="14" t="s">
        <v>1033</v>
      </c>
      <c r="VW17" s="17" t="s">
        <v>1032</v>
      </c>
      <c r="VX17" s="14" t="s">
        <v>1034</v>
      </c>
      <c r="VY17" s="17" t="s">
        <v>1034</v>
      </c>
      <c r="VZ17" s="14" t="s">
        <v>1034</v>
      </c>
      <c r="WA17" s="17" t="s">
        <v>1033</v>
      </c>
      <c r="WB17" s="14" t="s">
        <v>1034</v>
      </c>
      <c r="WC17" s="17" t="s">
        <v>1033</v>
      </c>
      <c r="WD17" s="14" t="s">
        <v>1034</v>
      </c>
      <c r="WE17" s="17" t="s">
        <v>1034</v>
      </c>
      <c r="WF17" s="14" t="s">
        <v>1034</v>
      </c>
      <c r="WG17" s="17" t="s">
        <v>1032</v>
      </c>
      <c r="WH17" s="14" t="s">
        <v>1033</v>
      </c>
      <c r="WI17" s="17" t="s">
        <v>1034</v>
      </c>
      <c r="WJ17" s="14" t="s">
        <v>1033</v>
      </c>
      <c r="WK17" s="17" t="s">
        <v>1033</v>
      </c>
      <c r="WL17" s="14" t="s">
        <v>1034</v>
      </c>
      <c r="WM17" s="17" t="s">
        <v>1034</v>
      </c>
      <c r="WN17" s="14" t="s">
        <v>1032</v>
      </c>
      <c r="WO17" s="17" t="s">
        <v>1034</v>
      </c>
      <c r="WP17" s="14" t="s">
        <v>1033</v>
      </c>
      <c r="WQ17" s="17" t="s">
        <v>1033</v>
      </c>
      <c r="WR17" s="14" t="s">
        <v>1032</v>
      </c>
      <c r="WS17" s="17" t="s">
        <v>1034</v>
      </c>
      <c r="WT17" s="14" t="s">
        <v>1033</v>
      </c>
      <c r="WU17" s="17" t="s">
        <v>1033</v>
      </c>
      <c r="WV17" s="14" t="s">
        <v>1033</v>
      </c>
      <c r="WW17" s="17" t="s">
        <v>1033</v>
      </c>
      <c r="WX17" s="14" t="s">
        <v>1033</v>
      </c>
      <c r="WY17" s="17" t="s">
        <v>1034</v>
      </c>
      <c r="WZ17" s="14" t="s">
        <v>1032</v>
      </c>
      <c r="XA17" s="17" t="s">
        <v>1034</v>
      </c>
      <c r="XB17" s="14" t="s">
        <v>1032</v>
      </c>
      <c r="XC17" s="17" t="s">
        <v>1033</v>
      </c>
      <c r="XD17" s="14" t="s">
        <v>1032</v>
      </c>
      <c r="XE17" s="17" t="s">
        <v>1032</v>
      </c>
      <c r="XF17" s="14" t="s">
        <v>1032</v>
      </c>
      <c r="XG17" s="17" t="s">
        <v>1034</v>
      </c>
      <c r="XH17" s="14" t="s">
        <v>1034</v>
      </c>
      <c r="XI17" s="17" t="s">
        <v>1033</v>
      </c>
      <c r="XJ17" s="14" t="s">
        <v>1032</v>
      </c>
      <c r="XK17" s="17" t="s">
        <v>1032</v>
      </c>
      <c r="XL17" s="14" t="s">
        <v>1032</v>
      </c>
      <c r="XM17" s="17" t="s">
        <v>1032</v>
      </c>
      <c r="XN17" s="14" t="s">
        <v>1033</v>
      </c>
      <c r="XO17" s="17" t="s">
        <v>1034</v>
      </c>
      <c r="XP17" s="14" t="s">
        <v>1034</v>
      </c>
      <c r="XQ17" s="17" t="s">
        <v>1032</v>
      </c>
      <c r="XR17" s="14" t="s">
        <v>1034</v>
      </c>
      <c r="XS17" s="17" t="s">
        <v>1032</v>
      </c>
      <c r="XT17" s="14" t="s">
        <v>1033</v>
      </c>
      <c r="XU17" s="17" t="s">
        <v>1033</v>
      </c>
      <c r="XV17" s="14" t="s">
        <v>1034</v>
      </c>
      <c r="XW17" s="17" t="s">
        <v>1032</v>
      </c>
      <c r="XX17" s="14" t="s">
        <v>1033</v>
      </c>
      <c r="XY17" s="17" t="s">
        <v>1034</v>
      </c>
      <c r="XZ17" s="14" t="s">
        <v>1033</v>
      </c>
      <c r="YA17" s="17" t="s">
        <v>1033</v>
      </c>
      <c r="YB17" s="14" t="s">
        <v>1032</v>
      </c>
      <c r="YC17" s="17" t="s">
        <v>1034</v>
      </c>
      <c r="YD17" s="14" t="s">
        <v>1032</v>
      </c>
      <c r="YE17" s="17" t="s">
        <v>1034</v>
      </c>
      <c r="YF17" s="14" t="s">
        <v>1033</v>
      </c>
      <c r="YG17" s="17" t="s">
        <v>1032</v>
      </c>
      <c r="YH17" s="14" t="s">
        <v>1032</v>
      </c>
      <c r="YI17" s="17" t="s">
        <v>1032</v>
      </c>
      <c r="YJ17" s="14" t="s">
        <v>1032</v>
      </c>
      <c r="YK17" s="17" t="s">
        <v>1034</v>
      </c>
      <c r="YL17" s="14" t="s">
        <v>1034</v>
      </c>
      <c r="YM17" s="17" t="s">
        <v>1032</v>
      </c>
      <c r="YN17" s="14" t="s">
        <v>1032</v>
      </c>
      <c r="YO17" s="17" t="s">
        <v>1034</v>
      </c>
      <c r="YP17" s="14" t="s">
        <v>1034</v>
      </c>
      <c r="YQ17" s="17" t="s">
        <v>1032</v>
      </c>
      <c r="YR17" s="14" t="s">
        <v>1034</v>
      </c>
      <c r="YS17" s="17" t="s">
        <v>1032</v>
      </c>
      <c r="YT17" s="14" t="s">
        <v>1032</v>
      </c>
      <c r="YU17" s="17" t="s">
        <v>1032</v>
      </c>
      <c r="YV17" s="14" t="s">
        <v>1033</v>
      </c>
      <c r="YW17" s="17" t="s">
        <v>1032</v>
      </c>
      <c r="YX17" s="14" t="s">
        <v>1034</v>
      </c>
      <c r="YY17" s="17" t="s">
        <v>1033</v>
      </c>
      <c r="YZ17" s="14" t="s">
        <v>1034</v>
      </c>
      <c r="ZA17" s="17" t="s">
        <v>1034</v>
      </c>
      <c r="ZB17" s="14" t="s">
        <v>1034</v>
      </c>
      <c r="ZC17" s="17" t="s">
        <v>1032</v>
      </c>
      <c r="ZD17" s="14" t="s">
        <v>1034</v>
      </c>
      <c r="ZE17" s="17" t="s">
        <v>1034</v>
      </c>
      <c r="ZF17" s="14" t="s">
        <v>1034</v>
      </c>
      <c r="ZG17" s="17" t="s">
        <v>1033</v>
      </c>
      <c r="ZH17" s="14" t="s">
        <v>1032</v>
      </c>
      <c r="ZI17" s="17" t="s">
        <v>1032</v>
      </c>
      <c r="ZJ17" s="14" t="s">
        <v>1033</v>
      </c>
      <c r="ZK17" s="17" t="s">
        <v>1034</v>
      </c>
      <c r="ZL17" s="14" t="s">
        <v>1033</v>
      </c>
      <c r="ZM17" s="17" t="s">
        <v>1033</v>
      </c>
      <c r="ZN17" s="14" t="s">
        <v>1032</v>
      </c>
      <c r="ZO17" s="17" t="s">
        <v>1032</v>
      </c>
      <c r="ZP17" s="14" t="s">
        <v>1033</v>
      </c>
      <c r="ZQ17" s="17" t="s">
        <v>1034</v>
      </c>
      <c r="ZR17" s="14" t="s">
        <v>1032</v>
      </c>
      <c r="ZS17" s="17" t="s">
        <v>1034</v>
      </c>
      <c r="ZT17" s="14" t="s">
        <v>1032</v>
      </c>
      <c r="ZU17" s="17" t="s">
        <v>1034</v>
      </c>
      <c r="ZV17" s="14" t="s">
        <v>1034</v>
      </c>
      <c r="ZW17" s="17" t="s">
        <v>1034</v>
      </c>
      <c r="ZX17" s="14" t="s">
        <v>1033</v>
      </c>
      <c r="ZY17" s="17" t="s">
        <v>1032</v>
      </c>
      <c r="ZZ17" s="14" t="s">
        <v>1034</v>
      </c>
      <c r="AAA17" s="17" t="s">
        <v>1034</v>
      </c>
      <c r="AAB17" s="14" t="s">
        <v>1033</v>
      </c>
      <c r="AAC17" s="17" t="s">
        <v>1033</v>
      </c>
      <c r="AAD17" s="14" t="s">
        <v>1034</v>
      </c>
      <c r="AAE17" s="17" t="s">
        <v>1034</v>
      </c>
      <c r="AAF17" s="14" t="s">
        <v>1032</v>
      </c>
      <c r="AAG17" s="17" t="s">
        <v>1032</v>
      </c>
      <c r="AAH17" s="14" t="s">
        <v>1033</v>
      </c>
      <c r="AAI17" s="17" t="s">
        <v>1033</v>
      </c>
      <c r="AAJ17" s="14" t="s">
        <v>1032</v>
      </c>
      <c r="AAK17" s="17" t="s">
        <v>1032</v>
      </c>
      <c r="AAL17" s="14" t="s">
        <v>1032</v>
      </c>
      <c r="AAM17" s="17" t="s">
        <v>1032</v>
      </c>
      <c r="AAN17" s="14" t="s">
        <v>1034</v>
      </c>
      <c r="AAO17" s="17" t="s">
        <v>1034</v>
      </c>
      <c r="AAP17" s="14" t="s">
        <v>1034</v>
      </c>
      <c r="AAQ17" s="17" t="s">
        <v>1033</v>
      </c>
      <c r="AAR17" s="14" t="s">
        <v>1032</v>
      </c>
      <c r="AAS17" s="17" t="s">
        <v>1034</v>
      </c>
      <c r="AAT17" s="14" t="s">
        <v>1032</v>
      </c>
      <c r="AAU17" s="17" t="s">
        <v>1032</v>
      </c>
      <c r="AAV17" s="14" t="s">
        <v>1033</v>
      </c>
      <c r="AAW17" s="17" t="s">
        <v>1034</v>
      </c>
      <c r="AAX17" s="14" t="s">
        <v>1034</v>
      </c>
      <c r="AAY17" s="17" t="s">
        <v>1032</v>
      </c>
      <c r="AAZ17" s="14" t="s">
        <v>1034</v>
      </c>
      <c r="ABA17" s="17" t="s">
        <v>1034</v>
      </c>
      <c r="ABB17" s="14" t="s">
        <v>1032</v>
      </c>
      <c r="ABC17" s="17" t="s">
        <v>1032</v>
      </c>
      <c r="ABD17" s="14" t="s">
        <v>1033</v>
      </c>
      <c r="ABE17" s="17" t="s">
        <v>1034</v>
      </c>
      <c r="ABF17" s="14" t="s">
        <v>1032</v>
      </c>
      <c r="ABG17" s="17" t="s">
        <v>1034</v>
      </c>
      <c r="ABH17" s="14" t="s">
        <v>1034</v>
      </c>
      <c r="ABI17" s="17" t="s">
        <v>1032</v>
      </c>
      <c r="ABJ17" s="14" t="s">
        <v>1034</v>
      </c>
      <c r="ABK17" s="17" t="s">
        <v>1034</v>
      </c>
      <c r="ABL17" s="14" t="s">
        <v>1033</v>
      </c>
      <c r="ABM17" s="17" t="s">
        <v>1034</v>
      </c>
      <c r="ABN17" s="14" t="s">
        <v>1033</v>
      </c>
      <c r="ABO17" s="17" t="s">
        <v>1033</v>
      </c>
      <c r="ABP17" s="14" t="s">
        <v>1032</v>
      </c>
      <c r="ABQ17" s="17" t="s">
        <v>1034</v>
      </c>
      <c r="ABR17" s="14" t="s">
        <v>1034</v>
      </c>
      <c r="ABS17" s="17" t="s">
        <v>1033</v>
      </c>
      <c r="ABT17" s="14" t="s">
        <v>1032</v>
      </c>
      <c r="ABU17" s="17" t="s">
        <v>1033</v>
      </c>
      <c r="ABV17" s="14" t="s">
        <v>1033</v>
      </c>
      <c r="ABW17" s="17" t="s">
        <v>1033</v>
      </c>
      <c r="ABX17" s="14" t="s">
        <v>1034</v>
      </c>
      <c r="ABY17" s="17" t="s">
        <v>1034</v>
      </c>
      <c r="ABZ17" s="14" t="s">
        <v>1034</v>
      </c>
      <c r="ACA17" s="17" t="s">
        <v>1034</v>
      </c>
      <c r="ACB17" s="14" t="s">
        <v>1032</v>
      </c>
      <c r="ACC17" s="17" t="s">
        <v>1033</v>
      </c>
      <c r="ACD17" s="14" t="s">
        <v>1032</v>
      </c>
      <c r="ACE17" s="17" t="s">
        <v>1033</v>
      </c>
      <c r="ACF17" s="14" t="s">
        <v>1033</v>
      </c>
      <c r="ACG17" s="17" t="s">
        <v>1032</v>
      </c>
      <c r="ACH17" s="14" t="s">
        <v>1032</v>
      </c>
      <c r="ACI17" s="17" t="s">
        <v>1033</v>
      </c>
      <c r="ACJ17" s="14" t="s">
        <v>1034</v>
      </c>
      <c r="ACK17" s="17" t="s">
        <v>1034</v>
      </c>
      <c r="ACL17" s="14" t="s">
        <v>1033</v>
      </c>
      <c r="ACM17" s="17" t="s">
        <v>1033</v>
      </c>
      <c r="ACN17" s="14" t="s">
        <v>1032</v>
      </c>
      <c r="ACO17" s="17" t="s">
        <v>1032</v>
      </c>
      <c r="ACP17" s="14" t="s">
        <v>1034</v>
      </c>
      <c r="ACQ17" s="17" t="s">
        <v>1034</v>
      </c>
      <c r="ACR17" s="14" t="s">
        <v>1032</v>
      </c>
      <c r="ACS17" s="17" t="s">
        <v>1034</v>
      </c>
      <c r="ACT17" s="14" t="s">
        <v>1034</v>
      </c>
      <c r="ACU17" s="17" t="s">
        <v>1032</v>
      </c>
      <c r="ACV17" s="14" t="s">
        <v>1034</v>
      </c>
      <c r="ACW17" s="17" t="s">
        <v>1032</v>
      </c>
      <c r="ACX17" s="14" t="s">
        <v>1033</v>
      </c>
      <c r="ACY17" s="17" t="s">
        <v>1034</v>
      </c>
      <c r="ACZ17" s="14" t="s">
        <v>1032</v>
      </c>
      <c r="ADA17" s="17" t="s">
        <v>1034</v>
      </c>
      <c r="ADB17" s="14" t="s">
        <v>1033</v>
      </c>
      <c r="ADC17" s="17" t="s">
        <v>1033</v>
      </c>
      <c r="ADD17" s="14" t="s">
        <v>1033</v>
      </c>
      <c r="ADE17" s="17" t="s">
        <v>1032</v>
      </c>
      <c r="ADF17" s="14" t="s">
        <v>1032</v>
      </c>
      <c r="ADG17" s="17" t="s">
        <v>1033</v>
      </c>
      <c r="ADH17" s="14" t="s">
        <v>1034</v>
      </c>
      <c r="ADI17" s="17" t="s">
        <v>1034</v>
      </c>
      <c r="ADJ17" s="14" t="s">
        <v>1033</v>
      </c>
      <c r="ADK17" s="17" t="s">
        <v>1033</v>
      </c>
      <c r="ADL17" s="14" t="s">
        <v>1034</v>
      </c>
      <c r="ADM17" s="17" t="s">
        <v>1033</v>
      </c>
      <c r="ADN17" s="14" t="s">
        <v>1034</v>
      </c>
      <c r="ADO17" s="17" t="s">
        <v>1033</v>
      </c>
      <c r="ADP17" s="14" t="s">
        <v>1034</v>
      </c>
      <c r="ADQ17" s="17" t="s">
        <v>1033</v>
      </c>
      <c r="ADR17" s="14" t="s">
        <v>1034</v>
      </c>
      <c r="ADS17" s="17" t="s">
        <v>1033</v>
      </c>
      <c r="ADT17" s="14" t="s">
        <v>1032</v>
      </c>
      <c r="ADU17" s="17" t="s">
        <v>1033</v>
      </c>
      <c r="ADV17" s="14" t="s">
        <v>1034</v>
      </c>
      <c r="ADW17" s="17" t="s">
        <v>1034</v>
      </c>
      <c r="ADX17" s="14" t="s">
        <v>1033</v>
      </c>
      <c r="ADY17" s="17" t="s">
        <v>1032</v>
      </c>
      <c r="ADZ17" s="14" t="s">
        <v>1033</v>
      </c>
      <c r="AEA17" s="17" t="s">
        <v>1034</v>
      </c>
      <c r="AEB17" s="14" t="s">
        <v>1034</v>
      </c>
      <c r="AEC17" s="17" t="s">
        <v>1033</v>
      </c>
      <c r="AED17" s="14" t="s">
        <v>1033</v>
      </c>
      <c r="AEE17" s="17" t="s">
        <v>1033</v>
      </c>
      <c r="AEF17" s="14" t="s">
        <v>1034</v>
      </c>
      <c r="AEG17" s="17" t="s">
        <v>1033</v>
      </c>
      <c r="AEH17" s="14" t="s">
        <v>1034</v>
      </c>
      <c r="AEI17" s="17" t="s">
        <v>1033</v>
      </c>
      <c r="AEJ17" s="14" t="s">
        <v>1034</v>
      </c>
      <c r="AEK17" s="17" t="s">
        <v>1032</v>
      </c>
      <c r="AEL17" s="14" t="s">
        <v>1034</v>
      </c>
      <c r="AEM17" s="17" t="s">
        <v>1032</v>
      </c>
      <c r="AEN17" s="14" t="s">
        <v>1034</v>
      </c>
      <c r="AEO17" s="17" t="s">
        <v>1032</v>
      </c>
      <c r="AEP17" s="14" t="s">
        <v>1033</v>
      </c>
      <c r="AEQ17" s="17" t="s">
        <v>1034</v>
      </c>
      <c r="AER17" s="14" t="s">
        <v>1032</v>
      </c>
      <c r="AES17" s="17" t="s">
        <v>1032</v>
      </c>
      <c r="AET17" s="14" t="s">
        <v>1032</v>
      </c>
      <c r="AEU17" s="17" t="s">
        <v>1034</v>
      </c>
      <c r="AEV17" s="14" t="s">
        <v>1033</v>
      </c>
      <c r="AEW17" s="17" t="s">
        <v>1033</v>
      </c>
      <c r="AEX17" s="14" t="s">
        <v>1034</v>
      </c>
      <c r="AEY17" s="17" t="s">
        <v>1034</v>
      </c>
      <c r="AEZ17" s="14" t="s">
        <v>1034</v>
      </c>
      <c r="AFA17" s="17" t="s">
        <v>1034</v>
      </c>
      <c r="AFB17" s="14" t="s">
        <v>1034</v>
      </c>
      <c r="AFC17" s="17" t="s">
        <v>1032</v>
      </c>
      <c r="AFD17" s="14" t="s">
        <v>1032</v>
      </c>
      <c r="AFE17" s="17" t="s">
        <v>1033</v>
      </c>
      <c r="AFF17" s="14" t="s">
        <v>1034</v>
      </c>
      <c r="AFG17" s="17" t="s">
        <v>1032</v>
      </c>
      <c r="AFH17" s="14" t="s">
        <v>1032</v>
      </c>
      <c r="AFI17" s="17" t="s">
        <v>1032</v>
      </c>
      <c r="AFJ17" s="14" t="s">
        <v>1033</v>
      </c>
      <c r="AFK17" s="17" t="s">
        <v>1034</v>
      </c>
      <c r="AFL17" s="14" t="s">
        <v>1033</v>
      </c>
      <c r="AFM17" s="17" t="s">
        <v>1032</v>
      </c>
      <c r="AFN17" s="14" t="s">
        <v>1032</v>
      </c>
      <c r="AFO17" s="17" t="s">
        <v>1033</v>
      </c>
      <c r="AFP17" s="14" t="s">
        <v>1032</v>
      </c>
      <c r="AFQ17" s="17" t="s">
        <v>1033</v>
      </c>
      <c r="AFR17" s="14" t="s">
        <v>1032</v>
      </c>
      <c r="AFS17" s="17" t="s">
        <v>1034</v>
      </c>
      <c r="AFT17" s="14" t="s">
        <v>1032</v>
      </c>
      <c r="AFU17" s="17" t="s">
        <v>1034</v>
      </c>
      <c r="AFV17" s="14" t="s">
        <v>1033</v>
      </c>
      <c r="AFW17" s="17" t="s">
        <v>1033</v>
      </c>
      <c r="AFX17" s="14" t="s">
        <v>1034</v>
      </c>
      <c r="AFY17" s="17" t="s">
        <v>1034</v>
      </c>
      <c r="AFZ17" s="14" t="s">
        <v>1034</v>
      </c>
      <c r="AGA17" s="17" t="s">
        <v>1033</v>
      </c>
      <c r="AGB17" s="14" t="s">
        <v>1034</v>
      </c>
      <c r="AGC17" s="17" t="s">
        <v>1034</v>
      </c>
      <c r="AGD17" s="14" t="s">
        <v>1032</v>
      </c>
      <c r="AGE17" s="17" t="s">
        <v>1032</v>
      </c>
      <c r="AGF17" s="14" t="s">
        <v>1034</v>
      </c>
      <c r="AGG17" s="17" t="s">
        <v>1033</v>
      </c>
      <c r="AGH17" s="14" t="s">
        <v>1033</v>
      </c>
      <c r="AGI17" s="17" t="s">
        <v>1032</v>
      </c>
      <c r="AGJ17" s="14" t="s">
        <v>1032</v>
      </c>
      <c r="AGK17" s="17" t="s">
        <v>1034</v>
      </c>
      <c r="AGL17" s="14" t="s">
        <v>1034</v>
      </c>
      <c r="AGM17" s="17" t="s">
        <v>1033</v>
      </c>
      <c r="AGN17" s="14" t="s">
        <v>1032</v>
      </c>
      <c r="AGO17" s="17" t="s">
        <v>1032</v>
      </c>
      <c r="AGP17" s="14" t="s">
        <v>1034</v>
      </c>
      <c r="AGQ17" s="17" t="s">
        <v>1034</v>
      </c>
      <c r="AGR17" s="14" t="s">
        <v>1034</v>
      </c>
      <c r="AGS17" s="17" t="s">
        <v>1034</v>
      </c>
      <c r="AGT17" s="14" t="s">
        <v>1032</v>
      </c>
      <c r="AGU17" s="17" t="s">
        <v>1034</v>
      </c>
      <c r="AGV17" s="14" t="s">
        <v>1032</v>
      </c>
      <c r="AGW17" s="17" t="s">
        <v>1034</v>
      </c>
      <c r="AGX17" s="14" t="s">
        <v>1032</v>
      </c>
      <c r="AGY17" s="17" t="s">
        <v>1033</v>
      </c>
      <c r="AGZ17" s="14" t="s">
        <v>1032</v>
      </c>
      <c r="AHA17" s="17" t="s">
        <v>1034</v>
      </c>
      <c r="AHB17" s="14" t="s">
        <v>1032</v>
      </c>
      <c r="AHC17" s="17" t="s">
        <v>1032</v>
      </c>
      <c r="AHD17" s="14" t="s">
        <v>1032</v>
      </c>
      <c r="AHE17" s="17" t="s">
        <v>1033</v>
      </c>
      <c r="AHF17" s="14" t="s">
        <v>1033</v>
      </c>
      <c r="AHG17" s="17" t="s">
        <v>1033</v>
      </c>
      <c r="AHH17" s="14" t="s">
        <v>1034</v>
      </c>
      <c r="AHI17" s="17" t="s">
        <v>1033</v>
      </c>
      <c r="AHJ17" s="14" t="s">
        <v>1033</v>
      </c>
      <c r="AHK17" s="17" t="s">
        <v>1034</v>
      </c>
      <c r="AHL17" s="14" t="s">
        <v>1032</v>
      </c>
      <c r="AHM17" s="17" t="s">
        <v>1034</v>
      </c>
      <c r="AHN17" s="14" t="s">
        <v>1032</v>
      </c>
      <c r="AHO17" s="17" t="s">
        <v>1034</v>
      </c>
      <c r="AHP17" s="14" t="s">
        <v>1034</v>
      </c>
      <c r="AHQ17" s="17" t="s">
        <v>1032</v>
      </c>
      <c r="AHR17" s="14" t="s">
        <v>1032</v>
      </c>
      <c r="AHS17" s="17" t="s">
        <v>1034</v>
      </c>
      <c r="AHT17" s="14" t="s">
        <v>1033</v>
      </c>
      <c r="AHU17" s="17" t="s">
        <v>1034</v>
      </c>
      <c r="AHV17" s="14" t="s">
        <v>1034</v>
      </c>
      <c r="AHW17" s="17" t="s">
        <v>1034</v>
      </c>
      <c r="AHX17" s="14" t="s">
        <v>1033</v>
      </c>
      <c r="AHY17" s="17" t="s">
        <v>1033</v>
      </c>
      <c r="AHZ17" s="14" t="s">
        <v>1033</v>
      </c>
      <c r="AIA17" s="17" t="s">
        <v>1032</v>
      </c>
      <c r="AIB17" s="14" t="s">
        <v>1034</v>
      </c>
      <c r="AIC17" s="17" t="s">
        <v>1032</v>
      </c>
      <c r="AID17" s="14" t="s">
        <v>1033</v>
      </c>
      <c r="AIE17" s="17" t="s">
        <v>1033</v>
      </c>
      <c r="AIF17" s="14" t="s">
        <v>1034</v>
      </c>
      <c r="AIG17" s="17" t="s">
        <v>1032</v>
      </c>
      <c r="AIH17" s="14" t="s">
        <v>1033</v>
      </c>
      <c r="AII17" s="17" t="s">
        <v>1032</v>
      </c>
      <c r="AIJ17" s="14" t="s">
        <v>1033</v>
      </c>
      <c r="AIK17" s="17" t="s">
        <v>1034</v>
      </c>
      <c r="AIL17" s="14" t="s">
        <v>1032</v>
      </c>
      <c r="AIM17" s="17" t="s">
        <v>1034</v>
      </c>
      <c r="AIN17" s="14" t="s">
        <v>1032</v>
      </c>
      <c r="AIO17" s="17" t="s">
        <v>1034</v>
      </c>
      <c r="AIP17" s="14" t="s">
        <v>1033</v>
      </c>
      <c r="AIQ17" s="17" t="s">
        <v>1033</v>
      </c>
      <c r="AIR17" s="14" t="s">
        <v>1032</v>
      </c>
      <c r="AIS17" s="17" t="s">
        <v>1034</v>
      </c>
      <c r="AIT17" s="14" t="s">
        <v>1033</v>
      </c>
      <c r="AIU17" s="17" t="s">
        <v>1034</v>
      </c>
      <c r="AIV17" s="14" t="s">
        <v>1034</v>
      </c>
      <c r="AIW17" s="17" t="s">
        <v>1033</v>
      </c>
      <c r="AIX17" s="14" t="s">
        <v>1034</v>
      </c>
      <c r="AIY17" s="17" t="s">
        <v>1033</v>
      </c>
      <c r="AIZ17" s="14" t="s">
        <v>1033</v>
      </c>
      <c r="AJA17" s="17" t="s">
        <v>1034</v>
      </c>
      <c r="AJB17" s="14" t="s">
        <v>1033</v>
      </c>
      <c r="AJC17" s="17" t="s">
        <v>1032</v>
      </c>
      <c r="AJD17" s="14" t="s">
        <v>1033</v>
      </c>
      <c r="AJE17" s="17" t="s">
        <v>1033</v>
      </c>
      <c r="AJF17" s="14" t="s">
        <v>1034</v>
      </c>
      <c r="AJG17" s="17" t="s">
        <v>1033</v>
      </c>
      <c r="AJH17" s="14" t="s">
        <v>1034</v>
      </c>
      <c r="AJI17" s="17" t="s">
        <v>1032</v>
      </c>
      <c r="AJJ17" s="14" t="s">
        <v>1033</v>
      </c>
      <c r="AJK17" s="17" t="s">
        <v>1032</v>
      </c>
      <c r="AJL17" s="14" t="s">
        <v>1033</v>
      </c>
      <c r="AJM17" s="17" t="s">
        <v>1032</v>
      </c>
      <c r="AJN17" s="14" t="s">
        <v>1033</v>
      </c>
      <c r="AJO17" s="17" t="s">
        <v>1034</v>
      </c>
      <c r="AJP17" s="14" t="s">
        <v>1032</v>
      </c>
      <c r="AJQ17" s="17" t="s">
        <v>1034</v>
      </c>
      <c r="AJR17" s="14" t="s">
        <v>1034</v>
      </c>
      <c r="AJS17" s="17" t="s">
        <v>1032</v>
      </c>
      <c r="AJT17" s="14" t="s">
        <v>1033</v>
      </c>
      <c r="AJU17" s="17" t="s">
        <v>1033</v>
      </c>
      <c r="AJV17" s="14" t="s">
        <v>1033</v>
      </c>
      <c r="AJW17" s="17" t="s">
        <v>1034</v>
      </c>
      <c r="AJX17" s="14" t="s">
        <v>1034</v>
      </c>
      <c r="AJY17" s="17" t="s">
        <v>1032</v>
      </c>
      <c r="AJZ17" s="14" t="s">
        <v>1034</v>
      </c>
      <c r="AKA17" s="17" t="s">
        <v>1033</v>
      </c>
      <c r="AKB17" s="14" t="s">
        <v>1032</v>
      </c>
      <c r="AKC17" s="17" t="s">
        <v>1033</v>
      </c>
      <c r="AKD17" s="14" t="s">
        <v>1032</v>
      </c>
      <c r="AKE17" s="17" t="s">
        <v>1033</v>
      </c>
      <c r="AKF17" s="14" t="s">
        <v>1034</v>
      </c>
      <c r="AKG17" s="17" t="s">
        <v>1034</v>
      </c>
      <c r="AKH17" s="14" t="s">
        <v>1033</v>
      </c>
      <c r="AKI17" s="17" t="s">
        <v>1032</v>
      </c>
      <c r="AKJ17" s="14" t="s">
        <v>1034</v>
      </c>
      <c r="AKK17" s="17" t="s">
        <v>1032</v>
      </c>
      <c r="AKL17" s="14" t="s">
        <v>1033</v>
      </c>
      <c r="AKM17" s="17" t="s">
        <v>1033</v>
      </c>
      <c r="AKN17" s="14" t="s">
        <v>1033</v>
      </c>
      <c r="AKO17" s="17" t="s">
        <v>1032</v>
      </c>
      <c r="AKP17" s="14" t="s">
        <v>1034</v>
      </c>
      <c r="AKQ17" s="17" t="s">
        <v>1033</v>
      </c>
      <c r="AKR17" s="14" t="s">
        <v>1032</v>
      </c>
      <c r="AKS17" s="17" t="s">
        <v>1034</v>
      </c>
      <c r="AKT17" s="14" t="s">
        <v>1034</v>
      </c>
      <c r="AKU17" s="17" t="s">
        <v>1032</v>
      </c>
      <c r="AKV17" s="14" t="s">
        <v>1033</v>
      </c>
      <c r="AKW17" s="17" t="s">
        <v>1034</v>
      </c>
      <c r="AKX17" s="14" t="s">
        <v>1032</v>
      </c>
      <c r="AKY17" s="17" t="s">
        <v>1032</v>
      </c>
      <c r="AKZ17" s="14" t="s">
        <v>1034</v>
      </c>
      <c r="ALA17" s="17" t="s">
        <v>1032</v>
      </c>
      <c r="ALB17" s="14" t="s">
        <v>1033</v>
      </c>
      <c r="ALC17" s="17" t="s">
        <v>1032</v>
      </c>
      <c r="ALD17" s="14" t="s">
        <v>1032</v>
      </c>
      <c r="ALE17" s="17" t="s">
        <v>1032</v>
      </c>
      <c r="ALF17" s="14" t="s">
        <v>1032</v>
      </c>
      <c r="ALG17" s="17" t="s">
        <v>1034</v>
      </c>
      <c r="ALH17" s="14" t="s">
        <v>1033</v>
      </c>
      <c r="ALI17" s="17" t="s">
        <v>1032</v>
      </c>
      <c r="ALJ17" s="14" t="s">
        <v>1032</v>
      </c>
      <c r="ALK17" s="17" t="s">
        <v>1032</v>
      </c>
      <c r="ALL17" s="14" t="s">
        <v>1032</v>
      </c>
      <c r="ALM17" s="17" t="s">
        <v>1034</v>
      </c>
      <c r="ALN17" s="14" t="s">
        <v>1034</v>
      </c>
      <c r="ALO17" s="17" t="s">
        <v>1033</v>
      </c>
      <c r="ALP17" s="14" t="s">
        <v>1034</v>
      </c>
      <c r="ALQ17" s="17" t="s">
        <v>1032</v>
      </c>
      <c r="ALR17" s="14" t="s">
        <v>1034</v>
      </c>
      <c r="ALS17" s="17" t="s">
        <v>1032</v>
      </c>
      <c r="ALT17" s="14" t="s">
        <v>1033</v>
      </c>
      <c r="ALU17" s="17" t="s">
        <v>1033</v>
      </c>
      <c r="ALV17" s="14" t="s">
        <v>1034</v>
      </c>
      <c r="ALW17" s="17" t="s">
        <v>1033</v>
      </c>
      <c r="ALX17" s="14" t="s">
        <v>1033</v>
      </c>
      <c r="ALY17" s="21" t="s">
        <v>1034</v>
      </c>
    </row>
    <row r="18" spans="1:1013" x14ac:dyDescent="0.25">
      <c r="A18" t="s">
        <v>26</v>
      </c>
      <c r="B18" s="1">
        <v>45038</v>
      </c>
      <c r="C18" t="s">
        <v>1013</v>
      </c>
      <c r="D18" t="s">
        <v>1014</v>
      </c>
      <c r="E18" t="s">
        <v>1024</v>
      </c>
      <c r="F18" t="s">
        <v>1032</v>
      </c>
      <c r="G18">
        <v>6</v>
      </c>
      <c r="H18">
        <v>18984</v>
      </c>
      <c r="I18">
        <v>0</v>
      </c>
      <c r="J18" t="s">
        <v>1035</v>
      </c>
      <c r="K18">
        <v>113904</v>
      </c>
      <c r="N18" s="14">
        <v>5</v>
      </c>
      <c r="O18" s="17">
        <v>8</v>
      </c>
      <c r="P18" s="14">
        <v>3</v>
      </c>
      <c r="Q18" s="17">
        <v>9</v>
      </c>
      <c r="R18" s="14">
        <v>5</v>
      </c>
      <c r="S18" s="17">
        <v>7</v>
      </c>
      <c r="T18" s="14">
        <v>4</v>
      </c>
      <c r="U18" s="17">
        <v>10</v>
      </c>
      <c r="V18" s="14">
        <v>3</v>
      </c>
      <c r="W18" s="17">
        <v>1</v>
      </c>
      <c r="X18" s="14">
        <v>9</v>
      </c>
      <c r="Y18" s="17">
        <v>7</v>
      </c>
      <c r="Z18" s="14">
        <v>8</v>
      </c>
      <c r="AA18" s="17">
        <v>9</v>
      </c>
      <c r="AB18" s="14">
        <v>1</v>
      </c>
      <c r="AC18" s="17">
        <v>9</v>
      </c>
      <c r="AD18" s="14">
        <v>6</v>
      </c>
      <c r="AE18" s="17">
        <v>7</v>
      </c>
      <c r="AF18" s="14">
        <v>3</v>
      </c>
      <c r="AG18" s="17">
        <v>8</v>
      </c>
      <c r="AH18" s="14">
        <v>2</v>
      </c>
      <c r="AI18" s="17">
        <v>9</v>
      </c>
      <c r="AJ18" s="14">
        <v>8</v>
      </c>
      <c r="AK18" s="17">
        <v>6</v>
      </c>
      <c r="AL18" s="14">
        <v>1</v>
      </c>
      <c r="AM18" s="17">
        <v>1</v>
      </c>
      <c r="AN18" s="14">
        <v>4</v>
      </c>
      <c r="AO18" s="17">
        <v>7</v>
      </c>
      <c r="AP18" s="14">
        <v>10</v>
      </c>
      <c r="AQ18" s="17">
        <v>2</v>
      </c>
      <c r="AR18" s="14">
        <v>6</v>
      </c>
      <c r="AS18" s="17">
        <v>6</v>
      </c>
      <c r="AT18" s="14">
        <v>10</v>
      </c>
      <c r="AU18" s="17">
        <v>5</v>
      </c>
      <c r="AV18" s="14">
        <v>3</v>
      </c>
      <c r="AW18" s="17">
        <v>9</v>
      </c>
      <c r="AX18" s="14">
        <v>5</v>
      </c>
      <c r="AY18" s="17">
        <v>4</v>
      </c>
      <c r="AZ18" s="14">
        <v>5</v>
      </c>
      <c r="BA18" s="17">
        <v>8</v>
      </c>
      <c r="BB18" s="14">
        <v>10</v>
      </c>
      <c r="BC18" s="17">
        <v>6</v>
      </c>
      <c r="BD18" s="14">
        <v>6</v>
      </c>
      <c r="BE18" s="17">
        <v>3</v>
      </c>
      <c r="BF18" s="14">
        <v>8</v>
      </c>
      <c r="BG18" s="17">
        <v>7</v>
      </c>
      <c r="BH18" s="14">
        <v>4</v>
      </c>
      <c r="BI18" s="17">
        <v>7</v>
      </c>
      <c r="BJ18" s="14">
        <v>6</v>
      </c>
      <c r="BK18" s="17">
        <v>6</v>
      </c>
      <c r="BL18" s="14">
        <v>7</v>
      </c>
      <c r="BM18" s="17">
        <v>5</v>
      </c>
      <c r="BN18" s="14">
        <v>8</v>
      </c>
      <c r="BO18" s="17">
        <v>3</v>
      </c>
      <c r="BP18" s="14">
        <v>10</v>
      </c>
      <c r="BQ18" s="17">
        <v>3</v>
      </c>
      <c r="BR18" s="14">
        <v>10</v>
      </c>
      <c r="BS18" s="17">
        <v>4</v>
      </c>
      <c r="BT18" s="14">
        <v>2</v>
      </c>
      <c r="BU18" s="17">
        <v>5</v>
      </c>
      <c r="BV18" s="14">
        <v>4</v>
      </c>
      <c r="BW18" s="17">
        <v>9</v>
      </c>
      <c r="BX18" s="14">
        <v>7</v>
      </c>
      <c r="BY18" s="17">
        <v>7</v>
      </c>
      <c r="BZ18" s="14">
        <v>4</v>
      </c>
      <c r="CA18" s="17">
        <v>3</v>
      </c>
      <c r="CB18" s="14">
        <v>3</v>
      </c>
      <c r="CC18" s="17">
        <v>8</v>
      </c>
      <c r="CD18" s="14">
        <v>1</v>
      </c>
      <c r="CE18" s="17">
        <v>3</v>
      </c>
      <c r="CF18" s="14">
        <v>7</v>
      </c>
      <c r="CG18" s="17">
        <v>8</v>
      </c>
      <c r="CH18" s="14">
        <v>3</v>
      </c>
      <c r="CI18" s="17">
        <v>9</v>
      </c>
      <c r="CJ18" s="14">
        <v>9</v>
      </c>
      <c r="CK18" s="17">
        <v>6</v>
      </c>
      <c r="CL18" s="14">
        <v>8</v>
      </c>
      <c r="CM18" s="17">
        <v>5</v>
      </c>
      <c r="CN18" s="14">
        <v>5</v>
      </c>
      <c r="CO18" s="17">
        <v>9</v>
      </c>
      <c r="CP18" s="14">
        <v>10</v>
      </c>
      <c r="CQ18" s="17">
        <v>1</v>
      </c>
      <c r="CR18" s="14">
        <v>7</v>
      </c>
      <c r="CS18" s="17">
        <v>2</v>
      </c>
      <c r="CT18" s="14">
        <v>3</v>
      </c>
      <c r="CU18" s="17">
        <v>1</v>
      </c>
      <c r="CV18" s="14">
        <v>4</v>
      </c>
      <c r="CW18" s="17">
        <v>5</v>
      </c>
      <c r="CX18" s="14">
        <v>8</v>
      </c>
      <c r="CY18" s="17">
        <v>2</v>
      </c>
      <c r="CZ18" s="14">
        <v>8</v>
      </c>
      <c r="DA18" s="17">
        <v>6</v>
      </c>
      <c r="DB18" s="14">
        <v>5</v>
      </c>
      <c r="DC18" s="17">
        <v>6</v>
      </c>
      <c r="DD18" s="14">
        <v>6</v>
      </c>
      <c r="DE18" s="17">
        <v>9</v>
      </c>
      <c r="DF18" s="14">
        <v>9</v>
      </c>
      <c r="DG18" s="17">
        <v>5</v>
      </c>
      <c r="DH18" s="14">
        <v>6</v>
      </c>
      <c r="DI18" s="17">
        <v>1</v>
      </c>
      <c r="DJ18" s="14">
        <v>7</v>
      </c>
      <c r="DK18" s="17">
        <v>2</v>
      </c>
      <c r="DL18" s="14">
        <v>6</v>
      </c>
      <c r="DM18" s="17">
        <v>10</v>
      </c>
      <c r="DN18" s="14">
        <v>4</v>
      </c>
      <c r="DO18" s="17">
        <v>10</v>
      </c>
      <c r="DP18" s="14">
        <v>10</v>
      </c>
      <c r="DQ18" s="17">
        <v>9</v>
      </c>
      <c r="DR18" s="14">
        <v>3</v>
      </c>
      <c r="DS18" s="17">
        <v>5</v>
      </c>
      <c r="DT18" s="14">
        <v>6</v>
      </c>
      <c r="DU18" s="17">
        <v>6</v>
      </c>
      <c r="DV18" s="14">
        <v>9</v>
      </c>
      <c r="DW18" s="17">
        <v>8</v>
      </c>
      <c r="DX18" s="14">
        <v>8</v>
      </c>
      <c r="DY18" s="17">
        <v>2</v>
      </c>
      <c r="DZ18" s="14">
        <v>7</v>
      </c>
      <c r="EA18" s="17">
        <v>10</v>
      </c>
      <c r="EB18" s="14">
        <v>5</v>
      </c>
      <c r="EC18" s="17">
        <v>8</v>
      </c>
      <c r="ED18" s="14">
        <v>3</v>
      </c>
      <c r="EE18" s="17">
        <v>3</v>
      </c>
      <c r="EF18" s="14">
        <v>6</v>
      </c>
      <c r="EG18" s="17">
        <v>7</v>
      </c>
      <c r="EH18" s="14">
        <v>10</v>
      </c>
      <c r="EI18" s="17">
        <v>10</v>
      </c>
      <c r="EJ18" s="14">
        <v>7</v>
      </c>
      <c r="EK18" s="17">
        <v>2</v>
      </c>
      <c r="EL18" s="14">
        <v>2</v>
      </c>
      <c r="EM18" s="17">
        <v>3</v>
      </c>
      <c r="EN18" s="14">
        <v>6</v>
      </c>
      <c r="EO18" s="17">
        <v>4</v>
      </c>
      <c r="EP18" s="14">
        <v>6</v>
      </c>
      <c r="EQ18" s="17">
        <v>6</v>
      </c>
      <c r="ER18" s="14">
        <v>5</v>
      </c>
      <c r="ES18" s="17">
        <v>5</v>
      </c>
      <c r="ET18" s="14">
        <v>10</v>
      </c>
      <c r="EU18" s="17">
        <v>7</v>
      </c>
      <c r="EV18" s="14">
        <v>5</v>
      </c>
      <c r="EW18" s="17">
        <v>8</v>
      </c>
      <c r="EX18" s="14">
        <v>6</v>
      </c>
      <c r="EY18" s="17">
        <v>10</v>
      </c>
      <c r="EZ18" s="14">
        <v>9</v>
      </c>
      <c r="FA18" s="17">
        <v>8</v>
      </c>
      <c r="FB18" s="14">
        <v>7</v>
      </c>
      <c r="FC18" s="17">
        <v>3</v>
      </c>
      <c r="FD18" s="14">
        <v>3</v>
      </c>
      <c r="FE18" s="17">
        <v>1</v>
      </c>
      <c r="FF18" s="14">
        <v>3</v>
      </c>
      <c r="FG18" s="17">
        <v>4</v>
      </c>
      <c r="FH18" s="14">
        <v>5</v>
      </c>
      <c r="FI18" s="17">
        <v>2</v>
      </c>
      <c r="FJ18" s="14">
        <v>4</v>
      </c>
      <c r="FK18" s="17">
        <v>3</v>
      </c>
      <c r="FL18" s="14">
        <v>7</v>
      </c>
      <c r="FM18" s="17">
        <v>2</v>
      </c>
      <c r="FN18" s="14">
        <v>2</v>
      </c>
      <c r="FO18" s="17">
        <v>2</v>
      </c>
      <c r="FP18" s="14">
        <v>8</v>
      </c>
      <c r="FQ18" s="17">
        <v>9</v>
      </c>
      <c r="FR18" s="14">
        <v>1</v>
      </c>
      <c r="FS18" s="17">
        <v>1</v>
      </c>
      <c r="FT18" s="14">
        <v>7</v>
      </c>
      <c r="FU18" s="17">
        <v>9</v>
      </c>
      <c r="FV18" s="14">
        <v>2</v>
      </c>
      <c r="FW18" s="17">
        <v>2</v>
      </c>
      <c r="FX18" s="14">
        <v>5</v>
      </c>
      <c r="FY18" s="17">
        <v>10</v>
      </c>
      <c r="FZ18" s="14">
        <v>3</v>
      </c>
      <c r="GA18" s="17">
        <v>2</v>
      </c>
      <c r="GB18" s="14">
        <v>7</v>
      </c>
      <c r="GC18" s="17">
        <v>5</v>
      </c>
      <c r="GD18" s="14">
        <v>4</v>
      </c>
      <c r="GE18" s="17">
        <v>4</v>
      </c>
      <c r="GF18" s="14">
        <v>5</v>
      </c>
      <c r="GG18" s="17">
        <v>8</v>
      </c>
      <c r="GH18" s="14">
        <v>3</v>
      </c>
      <c r="GI18" s="17">
        <v>3</v>
      </c>
      <c r="GJ18" s="14">
        <v>9</v>
      </c>
      <c r="GK18" s="17">
        <v>3</v>
      </c>
      <c r="GL18" s="14">
        <v>1</v>
      </c>
      <c r="GM18" s="17">
        <v>1</v>
      </c>
      <c r="GN18" s="14">
        <v>6</v>
      </c>
      <c r="GO18" s="17">
        <v>6</v>
      </c>
      <c r="GP18" s="14">
        <v>8</v>
      </c>
      <c r="GQ18" s="17">
        <v>8</v>
      </c>
      <c r="GR18" s="14">
        <v>9</v>
      </c>
      <c r="GS18" s="17">
        <v>5</v>
      </c>
      <c r="GT18" s="14">
        <v>9</v>
      </c>
      <c r="GU18" s="17">
        <v>8</v>
      </c>
      <c r="GV18" s="14">
        <v>3</v>
      </c>
      <c r="GW18" s="17">
        <v>9</v>
      </c>
      <c r="GX18" s="14">
        <v>3</v>
      </c>
      <c r="GY18" s="17">
        <v>10</v>
      </c>
      <c r="GZ18" s="14">
        <v>10</v>
      </c>
      <c r="HA18" s="17">
        <v>8</v>
      </c>
      <c r="HB18" s="14">
        <v>10</v>
      </c>
      <c r="HC18" s="17">
        <v>7</v>
      </c>
      <c r="HD18" s="14">
        <v>9</v>
      </c>
      <c r="HE18" s="17">
        <v>9</v>
      </c>
      <c r="HF18" s="14">
        <v>5</v>
      </c>
      <c r="HG18" s="17">
        <v>6</v>
      </c>
      <c r="HH18" s="14">
        <v>8</v>
      </c>
      <c r="HI18" s="17">
        <v>9</v>
      </c>
      <c r="HJ18" s="14">
        <v>4</v>
      </c>
      <c r="HK18" s="17">
        <v>2</v>
      </c>
      <c r="HL18" s="14">
        <v>8</v>
      </c>
      <c r="HM18" s="17">
        <v>5</v>
      </c>
      <c r="HN18" s="14">
        <v>6</v>
      </c>
      <c r="HO18" s="17">
        <v>7</v>
      </c>
      <c r="HP18" s="14">
        <v>5</v>
      </c>
      <c r="HQ18" s="17">
        <v>3</v>
      </c>
      <c r="HR18" s="14">
        <v>5</v>
      </c>
      <c r="HS18" s="17">
        <v>1</v>
      </c>
      <c r="HT18" s="14">
        <v>1</v>
      </c>
      <c r="HU18" s="17">
        <v>9</v>
      </c>
      <c r="HV18" s="14">
        <v>3</v>
      </c>
      <c r="HW18" s="17">
        <v>6</v>
      </c>
      <c r="HX18" s="14">
        <v>5</v>
      </c>
      <c r="HY18" s="17">
        <v>8</v>
      </c>
      <c r="HZ18" s="14">
        <v>9</v>
      </c>
      <c r="IA18" s="17">
        <v>1</v>
      </c>
      <c r="IB18" s="14">
        <v>8</v>
      </c>
      <c r="IC18" s="17">
        <v>8</v>
      </c>
      <c r="ID18" s="14">
        <v>5</v>
      </c>
      <c r="IE18" s="17">
        <v>1</v>
      </c>
      <c r="IF18" s="14">
        <v>7</v>
      </c>
      <c r="IG18" s="17">
        <v>5</v>
      </c>
      <c r="IH18" s="14">
        <v>10</v>
      </c>
      <c r="II18" s="17">
        <v>4</v>
      </c>
      <c r="IJ18" s="14">
        <v>1</v>
      </c>
      <c r="IK18" s="17">
        <v>9</v>
      </c>
      <c r="IL18" s="14">
        <v>6</v>
      </c>
      <c r="IM18" s="17">
        <v>4</v>
      </c>
      <c r="IN18" s="14">
        <v>7</v>
      </c>
      <c r="IO18" s="17">
        <v>9</v>
      </c>
      <c r="IP18" s="14">
        <v>7</v>
      </c>
      <c r="IQ18" s="17">
        <v>7</v>
      </c>
      <c r="IR18" s="14">
        <v>4</v>
      </c>
      <c r="IS18" s="17">
        <v>3</v>
      </c>
      <c r="IT18" s="14">
        <v>7</v>
      </c>
      <c r="IU18" s="17">
        <v>7</v>
      </c>
      <c r="IV18" s="14">
        <v>4</v>
      </c>
      <c r="IW18" s="17">
        <v>5</v>
      </c>
      <c r="IX18" s="14">
        <v>2</v>
      </c>
      <c r="IY18" s="17">
        <v>7</v>
      </c>
      <c r="IZ18" s="14">
        <v>4</v>
      </c>
      <c r="JA18" s="17">
        <v>9</v>
      </c>
      <c r="JB18" s="14">
        <v>10</v>
      </c>
      <c r="JC18" s="17">
        <v>5</v>
      </c>
      <c r="JD18" s="14">
        <v>5</v>
      </c>
      <c r="JE18" s="17">
        <v>9</v>
      </c>
      <c r="JF18" s="14">
        <v>5</v>
      </c>
      <c r="JG18" s="17">
        <v>7</v>
      </c>
      <c r="JH18" s="14">
        <v>4</v>
      </c>
      <c r="JI18" s="17">
        <v>2</v>
      </c>
      <c r="JJ18" s="14">
        <v>3</v>
      </c>
      <c r="JK18" s="17">
        <v>3</v>
      </c>
      <c r="JL18" s="14">
        <v>5</v>
      </c>
      <c r="JM18" s="17">
        <v>2</v>
      </c>
      <c r="JN18" s="14">
        <v>8</v>
      </c>
      <c r="JO18" s="17">
        <v>10</v>
      </c>
      <c r="JP18" s="14">
        <v>8</v>
      </c>
      <c r="JQ18" s="17">
        <v>5</v>
      </c>
      <c r="JR18" s="14">
        <v>10</v>
      </c>
      <c r="JS18" s="17">
        <v>8</v>
      </c>
      <c r="JT18" s="14">
        <v>4</v>
      </c>
      <c r="JU18" s="17">
        <v>6</v>
      </c>
      <c r="JV18" s="14">
        <v>1</v>
      </c>
      <c r="JW18" s="17">
        <v>3</v>
      </c>
      <c r="JX18" s="14">
        <v>1</v>
      </c>
      <c r="JY18" s="17">
        <v>9</v>
      </c>
      <c r="JZ18" s="14">
        <v>1</v>
      </c>
      <c r="KA18" s="17">
        <v>3</v>
      </c>
      <c r="KB18" s="14">
        <v>2</v>
      </c>
      <c r="KC18" s="17">
        <v>5</v>
      </c>
      <c r="KD18" s="14">
        <v>5</v>
      </c>
      <c r="KE18" s="17">
        <v>3</v>
      </c>
      <c r="KF18" s="14">
        <v>8</v>
      </c>
      <c r="KG18" s="17">
        <v>1</v>
      </c>
      <c r="KH18" s="14">
        <v>4</v>
      </c>
      <c r="KI18" s="17">
        <v>2</v>
      </c>
      <c r="KJ18" s="14">
        <v>3</v>
      </c>
      <c r="KK18" s="17">
        <v>1</v>
      </c>
      <c r="KL18" s="14">
        <v>8</v>
      </c>
      <c r="KM18" s="17">
        <v>4</v>
      </c>
      <c r="KN18" s="14">
        <v>6</v>
      </c>
      <c r="KO18" s="17">
        <v>7</v>
      </c>
      <c r="KP18" s="14">
        <v>5</v>
      </c>
      <c r="KQ18" s="17">
        <v>8</v>
      </c>
      <c r="KR18" s="14">
        <v>6</v>
      </c>
      <c r="KS18" s="17">
        <v>8</v>
      </c>
      <c r="KT18" s="14">
        <v>1</v>
      </c>
      <c r="KU18" s="17">
        <v>6</v>
      </c>
      <c r="KV18" s="14">
        <v>2</v>
      </c>
      <c r="KW18" s="17">
        <v>3</v>
      </c>
      <c r="KX18" s="14">
        <v>1</v>
      </c>
      <c r="KY18" s="17">
        <v>5</v>
      </c>
      <c r="KZ18" s="14">
        <v>7</v>
      </c>
      <c r="LA18" s="17">
        <v>2</v>
      </c>
      <c r="LB18" s="14">
        <v>9</v>
      </c>
      <c r="LC18" s="17">
        <v>8</v>
      </c>
      <c r="LD18" s="14">
        <v>3</v>
      </c>
      <c r="LE18" s="17">
        <v>4</v>
      </c>
      <c r="LF18" s="14">
        <v>5</v>
      </c>
      <c r="LG18" s="17">
        <v>7</v>
      </c>
      <c r="LH18" s="14">
        <v>1</v>
      </c>
      <c r="LI18" s="17">
        <v>2</v>
      </c>
      <c r="LJ18" s="14">
        <v>4</v>
      </c>
      <c r="LK18" s="17">
        <v>7</v>
      </c>
      <c r="LL18" s="14">
        <v>8</v>
      </c>
      <c r="LM18" s="17">
        <v>4</v>
      </c>
      <c r="LN18" s="14">
        <v>1</v>
      </c>
      <c r="LO18" s="17">
        <v>4</v>
      </c>
      <c r="LP18" s="14">
        <v>8</v>
      </c>
      <c r="LQ18" s="17">
        <v>2</v>
      </c>
      <c r="LR18" s="14">
        <v>9</v>
      </c>
      <c r="LS18" s="17">
        <v>4</v>
      </c>
      <c r="LT18" s="14">
        <v>8</v>
      </c>
      <c r="LU18" s="17">
        <v>7</v>
      </c>
      <c r="LV18" s="14">
        <v>5</v>
      </c>
      <c r="LW18" s="17">
        <v>6</v>
      </c>
      <c r="LX18" s="14">
        <v>3</v>
      </c>
      <c r="LY18" s="17">
        <v>1</v>
      </c>
      <c r="LZ18" s="14">
        <v>9</v>
      </c>
      <c r="MA18" s="17">
        <v>9</v>
      </c>
      <c r="MB18" s="14">
        <v>2</v>
      </c>
      <c r="MC18" s="17">
        <v>5</v>
      </c>
      <c r="MD18" s="14">
        <v>8</v>
      </c>
      <c r="ME18" s="17">
        <v>5</v>
      </c>
      <c r="MF18" s="14">
        <v>4</v>
      </c>
      <c r="MG18" s="17">
        <v>6</v>
      </c>
      <c r="MH18" s="14">
        <v>1</v>
      </c>
      <c r="MI18" s="17">
        <v>4</v>
      </c>
      <c r="MJ18" s="14">
        <v>2</v>
      </c>
      <c r="MK18" s="17">
        <v>4</v>
      </c>
      <c r="ML18" s="14">
        <v>7</v>
      </c>
      <c r="MM18" s="17">
        <v>6</v>
      </c>
      <c r="MN18" s="14">
        <v>1</v>
      </c>
      <c r="MO18" s="17">
        <v>3</v>
      </c>
      <c r="MP18" s="14">
        <v>5</v>
      </c>
      <c r="MQ18" s="17">
        <v>10</v>
      </c>
      <c r="MR18" s="14">
        <v>2</v>
      </c>
      <c r="MS18" s="17">
        <v>7</v>
      </c>
      <c r="MT18" s="14">
        <v>4</v>
      </c>
      <c r="MU18" s="17">
        <v>1</v>
      </c>
      <c r="MV18" s="14">
        <v>1</v>
      </c>
      <c r="MW18" s="17">
        <v>10</v>
      </c>
      <c r="MX18" s="14">
        <v>8</v>
      </c>
      <c r="MY18" s="17">
        <v>10</v>
      </c>
      <c r="MZ18" s="14">
        <v>3</v>
      </c>
      <c r="NA18" s="17">
        <v>6</v>
      </c>
      <c r="NB18" s="14">
        <v>2</v>
      </c>
      <c r="NC18" s="17">
        <v>4</v>
      </c>
      <c r="ND18" s="14">
        <v>3</v>
      </c>
      <c r="NE18" s="17">
        <v>8</v>
      </c>
      <c r="NF18" s="14">
        <v>2</v>
      </c>
      <c r="NG18" s="17">
        <v>10</v>
      </c>
      <c r="NH18" s="14">
        <v>6</v>
      </c>
      <c r="NI18" s="17">
        <v>1</v>
      </c>
      <c r="NJ18" s="14">
        <v>1</v>
      </c>
      <c r="NK18" s="17">
        <v>6</v>
      </c>
      <c r="NL18" s="14">
        <v>3</v>
      </c>
      <c r="NM18" s="17">
        <v>9</v>
      </c>
      <c r="NN18" s="14">
        <v>2</v>
      </c>
      <c r="NO18" s="17">
        <v>3</v>
      </c>
      <c r="NP18" s="14">
        <v>8</v>
      </c>
      <c r="NQ18" s="17">
        <v>4</v>
      </c>
      <c r="NR18" s="14">
        <v>6</v>
      </c>
      <c r="NS18" s="17">
        <v>9</v>
      </c>
      <c r="NT18" s="14">
        <v>6</v>
      </c>
      <c r="NU18" s="17">
        <v>8</v>
      </c>
      <c r="NV18" s="14">
        <v>4</v>
      </c>
      <c r="NW18" s="17">
        <v>1</v>
      </c>
      <c r="NX18" s="14">
        <v>7</v>
      </c>
      <c r="NY18" s="17">
        <v>6</v>
      </c>
      <c r="NZ18" s="14">
        <v>3</v>
      </c>
      <c r="OA18" s="17">
        <v>5</v>
      </c>
      <c r="OB18" s="14">
        <v>1</v>
      </c>
      <c r="OC18" s="17">
        <v>8</v>
      </c>
      <c r="OD18" s="14">
        <v>8</v>
      </c>
      <c r="OE18" s="17">
        <v>9</v>
      </c>
      <c r="OF18" s="14">
        <v>5</v>
      </c>
      <c r="OG18" s="17">
        <v>9</v>
      </c>
      <c r="OH18" s="14">
        <v>8</v>
      </c>
      <c r="OI18" s="17">
        <v>4</v>
      </c>
      <c r="OJ18" s="14">
        <v>10</v>
      </c>
      <c r="OK18" s="17">
        <v>3</v>
      </c>
      <c r="OL18" s="14">
        <v>9</v>
      </c>
      <c r="OM18" s="17">
        <v>6</v>
      </c>
      <c r="ON18" s="14">
        <v>6</v>
      </c>
      <c r="OO18" s="17">
        <v>8</v>
      </c>
      <c r="OP18" s="14">
        <v>5</v>
      </c>
      <c r="OQ18" s="17">
        <v>10</v>
      </c>
      <c r="OR18" s="14">
        <v>9</v>
      </c>
      <c r="OS18" s="17">
        <v>3</v>
      </c>
      <c r="OT18" s="14">
        <v>2</v>
      </c>
      <c r="OU18" s="17">
        <v>9</v>
      </c>
      <c r="OV18" s="14">
        <v>3</v>
      </c>
      <c r="OW18" s="17">
        <v>8</v>
      </c>
      <c r="OX18" s="14">
        <v>5</v>
      </c>
      <c r="OY18" s="17">
        <v>5</v>
      </c>
      <c r="OZ18" s="14">
        <v>9</v>
      </c>
      <c r="PA18" s="17">
        <v>6</v>
      </c>
      <c r="PB18" s="14">
        <v>8</v>
      </c>
      <c r="PC18" s="17">
        <v>1</v>
      </c>
      <c r="PD18" s="14">
        <v>9</v>
      </c>
      <c r="PE18" s="17">
        <v>7</v>
      </c>
      <c r="PF18" s="14">
        <v>3</v>
      </c>
      <c r="PG18" s="17">
        <v>1</v>
      </c>
      <c r="PH18" s="14">
        <v>10</v>
      </c>
      <c r="PI18" s="17">
        <v>6</v>
      </c>
      <c r="PJ18" s="14">
        <v>10</v>
      </c>
      <c r="PK18" s="17">
        <v>4</v>
      </c>
      <c r="PL18" s="14">
        <v>6</v>
      </c>
      <c r="PM18" s="17">
        <v>2</v>
      </c>
      <c r="PN18" s="14">
        <v>9</v>
      </c>
      <c r="PO18" s="17">
        <v>7</v>
      </c>
      <c r="PP18" s="14">
        <v>4</v>
      </c>
      <c r="PQ18" s="17">
        <v>9</v>
      </c>
      <c r="PR18" s="14">
        <v>8</v>
      </c>
      <c r="PS18" s="17">
        <v>9</v>
      </c>
      <c r="PT18" s="14">
        <v>3</v>
      </c>
      <c r="PU18" s="17">
        <v>10</v>
      </c>
      <c r="PV18" s="14">
        <v>5</v>
      </c>
      <c r="PW18" s="17">
        <v>6</v>
      </c>
      <c r="PX18" s="14">
        <v>7</v>
      </c>
      <c r="PY18" s="17">
        <v>6</v>
      </c>
      <c r="PZ18" s="14">
        <v>2</v>
      </c>
      <c r="QA18" s="17">
        <v>2</v>
      </c>
      <c r="QB18" s="14">
        <v>9</v>
      </c>
      <c r="QC18" s="17">
        <v>2</v>
      </c>
      <c r="QD18" s="14">
        <v>1</v>
      </c>
      <c r="QE18" s="17">
        <v>3</v>
      </c>
      <c r="QF18" s="14">
        <v>3</v>
      </c>
      <c r="QG18" s="17">
        <v>1</v>
      </c>
      <c r="QH18" s="14">
        <v>4</v>
      </c>
      <c r="QI18" s="17">
        <v>2</v>
      </c>
      <c r="QJ18" s="14">
        <v>8</v>
      </c>
      <c r="QK18" s="17">
        <v>4</v>
      </c>
      <c r="QL18" s="14">
        <v>2</v>
      </c>
      <c r="QM18" s="17">
        <v>1</v>
      </c>
      <c r="QN18" s="14">
        <v>10</v>
      </c>
      <c r="QO18" s="17">
        <v>7</v>
      </c>
      <c r="QP18" s="14">
        <v>8</v>
      </c>
      <c r="QQ18" s="17">
        <v>9</v>
      </c>
      <c r="QR18" s="14">
        <v>10</v>
      </c>
      <c r="QS18" s="17">
        <v>10</v>
      </c>
      <c r="QT18" s="14">
        <v>5</v>
      </c>
      <c r="QU18" s="17">
        <v>1</v>
      </c>
      <c r="QV18" s="14">
        <v>6</v>
      </c>
      <c r="QW18" s="17">
        <v>4</v>
      </c>
      <c r="QX18" s="14">
        <v>10</v>
      </c>
      <c r="QY18" s="17">
        <v>2</v>
      </c>
      <c r="QZ18" s="14">
        <v>1</v>
      </c>
      <c r="RA18" s="17">
        <v>4</v>
      </c>
      <c r="RB18" s="14">
        <v>8</v>
      </c>
      <c r="RC18" s="17">
        <v>2</v>
      </c>
      <c r="RD18" s="14">
        <v>8</v>
      </c>
      <c r="RE18" s="17">
        <v>1</v>
      </c>
      <c r="RF18" s="14">
        <v>6</v>
      </c>
      <c r="RG18" s="17">
        <v>9</v>
      </c>
      <c r="RH18" s="14">
        <v>7</v>
      </c>
      <c r="RI18" s="17">
        <v>6</v>
      </c>
      <c r="RJ18" s="14">
        <v>1</v>
      </c>
      <c r="RK18" s="17">
        <v>10</v>
      </c>
      <c r="RL18" s="14">
        <v>5</v>
      </c>
      <c r="RM18" s="17">
        <v>9</v>
      </c>
      <c r="RN18" s="14">
        <v>1</v>
      </c>
      <c r="RO18" s="17">
        <v>2</v>
      </c>
      <c r="RP18" s="14">
        <v>5</v>
      </c>
      <c r="RQ18" s="17">
        <v>2</v>
      </c>
      <c r="RR18" s="14">
        <v>4</v>
      </c>
      <c r="RS18" s="17">
        <v>9</v>
      </c>
      <c r="RT18" s="14">
        <v>2</v>
      </c>
      <c r="RU18" s="17">
        <v>2</v>
      </c>
      <c r="RV18" s="14">
        <v>4</v>
      </c>
      <c r="RW18" s="17">
        <v>9</v>
      </c>
      <c r="RX18" s="14">
        <v>7</v>
      </c>
      <c r="RY18" s="17">
        <v>4</v>
      </c>
      <c r="RZ18" s="14">
        <v>4</v>
      </c>
      <c r="SA18" s="17">
        <v>9</v>
      </c>
      <c r="SB18" s="14">
        <v>4</v>
      </c>
      <c r="SC18" s="17">
        <v>10</v>
      </c>
      <c r="SD18" s="14">
        <v>3</v>
      </c>
      <c r="SE18" s="17">
        <v>9</v>
      </c>
      <c r="SF18" s="14">
        <v>9</v>
      </c>
      <c r="SG18" s="17">
        <v>7</v>
      </c>
      <c r="SH18" s="14">
        <v>2</v>
      </c>
      <c r="SI18" s="17">
        <v>10</v>
      </c>
      <c r="SJ18" s="14">
        <v>6</v>
      </c>
      <c r="SK18" s="17">
        <v>8</v>
      </c>
      <c r="SL18" s="14">
        <v>7</v>
      </c>
      <c r="SM18" s="17">
        <v>2</v>
      </c>
      <c r="SN18" s="14">
        <v>3</v>
      </c>
      <c r="SO18" s="17">
        <v>3</v>
      </c>
      <c r="SP18" s="14">
        <v>9</v>
      </c>
      <c r="SQ18" s="17">
        <v>7</v>
      </c>
      <c r="SR18" s="14">
        <v>9</v>
      </c>
      <c r="SS18" s="17">
        <v>6</v>
      </c>
      <c r="ST18" s="14">
        <v>3</v>
      </c>
      <c r="SU18" s="17">
        <v>9</v>
      </c>
      <c r="SV18" s="14">
        <v>10</v>
      </c>
      <c r="SW18" s="17">
        <v>8</v>
      </c>
      <c r="SX18" s="14">
        <v>6</v>
      </c>
      <c r="SY18" s="17">
        <v>6</v>
      </c>
      <c r="SZ18" s="14">
        <v>9</v>
      </c>
      <c r="TA18" s="17">
        <v>6</v>
      </c>
      <c r="TB18" s="14">
        <v>6</v>
      </c>
      <c r="TC18" s="17">
        <v>7</v>
      </c>
      <c r="TD18" s="14">
        <v>7</v>
      </c>
      <c r="TE18" s="17">
        <v>6</v>
      </c>
      <c r="TF18" s="14">
        <v>10</v>
      </c>
      <c r="TG18" s="17">
        <v>4</v>
      </c>
      <c r="TH18" s="14">
        <v>10</v>
      </c>
      <c r="TI18" s="17">
        <v>9</v>
      </c>
      <c r="TJ18" s="14">
        <v>4</v>
      </c>
      <c r="TK18" s="17">
        <v>7</v>
      </c>
      <c r="TL18" s="14">
        <v>9</v>
      </c>
      <c r="TM18" s="17">
        <v>5</v>
      </c>
      <c r="TN18" s="14">
        <v>6</v>
      </c>
      <c r="TO18" s="17">
        <v>8</v>
      </c>
      <c r="TP18" s="14">
        <v>8</v>
      </c>
      <c r="TQ18" s="17">
        <v>7</v>
      </c>
      <c r="TR18" s="14">
        <v>1</v>
      </c>
      <c r="TS18" s="17">
        <v>1</v>
      </c>
      <c r="TT18" s="14">
        <v>5</v>
      </c>
      <c r="TU18" s="17">
        <v>10</v>
      </c>
      <c r="TV18" s="14">
        <v>1</v>
      </c>
      <c r="TW18" s="17">
        <v>9</v>
      </c>
      <c r="TX18" s="14">
        <v>3</v>
      </c>
      <c r="TY18" s="17">
        <v>5</v>
      </c>
      <c r="TZ18" s="14">
        <v>1</v>
      </c>
      <c r="UA18" s="17">
        <v>5</v>
      </c>
      <c r="UB18" s="14">
        <v>4</v>
      </c>
      <c r="UC18" s="17">
        <v>4</v>
      </c>
      <c r="UD18" s="14">
        <v>6</v>
      </c>
      <c r="UE18" s="17">
        <v>1</v>
      </c>
      <c r="UF18" s="14">
        <v>5</v>
      </c>
      <c r="UG18" s="17">
        <v>9</v>
      </c>
      <c r="UH18" s="14">
        <v>9</v>
      </c>
      <c r="UI18" s="17">
        <v>9</v>
      </c>
      <c r="UJ18" s="14">
        <v>10</v>
      </c>
      <c r="UK18" s="17">
        <v>10</v>
      </c>
      <c r="UL18" s="14">
        <v>3</v>
      </c>
      <c r="UM18" s="17">
        <v>2</v>
      </c>
      <c r="UN18" s="14">
        <v>1</v>
      </c>
      <c r="UO18" s="17">
        <v>8</v>
      </c>
      <c r="UP18" s="14">
        <v>6</v>
      </c>
      <c r="UQ18" s="17">
        <v>3</v>
      </c>
      <c r="UR18" s="14">
        <v>3</v>
      </c>
      <c r="US18" s="17">
        <v>5</v>
      </c>
      <c r="UT18" s="14">
        <v>6</v>
      </c>
      <c r="UU18" s="17">
        <v>10</v>
      </c>
      <c r="UV18" s="14">
        <v>4</v>
      </c>
      <c r="UW18" s="17">
        <v>4</v>
      </c>
      <c r="UX18" s="14">
        <v>5</v>
      </c>
      <c r="UY18" s="17">
        <v>5</v>
      </c>
      <c r="UZ18" s="14">
        <v>2</v>
      </c>
      <c r="VA18" s="17">
        <v>10</v>
      </c>
      <c r="VB18" s="14">
        <v>7</v>
      </c>
      <c r="VC18" s="17">
        <v>10</v>
      </c>
      <c r="VD18" s="14">
        <v>4</v>
      </c>
      <c r="VE18" s="17">
        <v>2</v>
      </c>
      <c r="VF18" s="14">
        <v>6</v>
      </c>
      <c r="VG18" s="17">
        <v>8</v>
      </c>
      <c r="VH18" s="14">
        <v>3</v>
      </c>
      <c r="VI18" s="17">
        <v>8</v>
      </c>
      <c r="VJ18" s="14">
        <v>10</v>
      </c>
      <c r="VK18" s="17">
        <v>2</v>
      </c>
      <c r="VL18" s="14">
        <v>10</v>
      </c>
      <c r="VM18" s="17">
        <v>5</v>
      </c>
      <c r="VN18" s="14">
        <v>1</v>
      </c>
      <c r="VO18" s="17">
        <v>10</v>
      </c>
      <c r="VP18" s="14">
        <v>7</v>
      </c>
      <c r="VQ18" s="17">
        <v>2</v>
      </c>
      <c r="VR18" s="14">
        <v>1</v>
      </c>
      <c r="VS18" s="17">
        <v>6</v>
      </c>
      <c r="VT18" s="14">
        <v>6</v>
      </c>
      <c r="VU18" s="17">
        <v>7</v>
      </c>
      <c r="VV18" s="14">
        <v>7</v>
      </c>
      <c r="VW18" s="17">
        <v>2</v>
      </c>
      <c r="VX18" s="14">
        <v>4</v>
      </c>
      <c r="VY18" s="17">
        <v>10</v>
      </c>
      <c r="VZ18" s="14">
        <v>1</v>
      </c>
      <c r="WA18" s="17">
        <v>7</v>
      </c>
      <c r="WB18" s="14">
        <v>1</v>
      </c>
      <c r="WC18" s="17">
        <v>5</v>
      </c>
      <c r="WD18" s="14">
        <v>9</v>
      </c>
      <c r="WE18" s="17">
        <v>1</v>
      </c>
      <c r="WF18" s="14">
        <v>6</v>
      </c>
      <c r="WG18" s="17">
        <v>9</v>
      </c>
      <c r="WH18" s="14">
        <v>10</v>
      </c>
      <c r="WI18" s="17">
        <v>3</v>
      </c>
      <c r="WJ18" s="14">
        <v>6</v>
      </c>
      <c r="WK18" s="17">
        <v>9</v>
      </c>
      <c r="WL18" s="14">
        <v>4</v>
      </c>
      <c r="WM18" s="17">
        <v>3</v>
      </c>
      <c r="WN18" s="14">
        <v>1</v>
      </c>
      <c r="WO18" s="17">
        <v>7</v>
      </c>
      <c r="WP18" s="14">
        <v>8</v>
      </c>
      <c r="WQ18" s="17">
        <v>10</v>
      </c>
      <c r="WR18" s="14">
        <v>10</v>
      </c>
      <c r="WS18" s="17">
        <v>9</v>
      </c>
      <c r="WT18" s="14">
        <v>2</v>
      </c>
      <c r="WU18" s="17">
        <v>4</v>
      </c>
      <c r="WV18" s="14">
        <v>7</v>
      </c>
      <c r="WW18" s="17">
        <v>5</v>
      </c>
      <c r="WX18" s="14">
        <v>7</v>
      </c>
      <c r="WY18" s="17">
        <v>3</v>
      </c>
      <c r="WZ18" s="14">
        <v>3</v>
      </c>
      <c r="XA18" s="17">
        <v>6</v>
      </c>
      <c r="XB18" s="14">
        <v>2</v>
      </c>
      <c r="XC18" s="17">
        <v>8</v>
      </c>
      <c r="XD18" s="14">
        <v>10</v>
      </c>
      <c r="XE18" s="17">
        <v>1</v>
      </c>
      <c r="XF18" s="14">
        <v>9</v>
      </c>
      <c r="XG18" s="17">
        <v>7</v>
      </c>
      <c r="XH18" s="14">
        <v>5</v>
      </c>
      <c r="XI18" s="17">
        <v>2</v>
      </c>
      <c r="XJ18" s="14">
        <v>7</v>
      </c>
      <c r="XK18" s="17">
        <v>9</v>
      </c>
      <c r="XL18" s="14">
        <v>7</v>
      </c>
      <c r="XM18" s="17">
        <v>3</v>
      </c>
      <c r="XN18" s="14">
        <v>3</v>
      </c>
      <c r="XO18" s="17">
        <v>8</v>
      </c>
      <c r="XP18" s="14">
        <v>9</v>
      </c>
      <c r="XQ18" s="17">
        <v>4</v>
      </c>
      <c r="XR18" s="14">
        <v>8</v>
      </c>
      <c r="XS18" s="17">
        <v>7</v>
      </c>
      <c r="XT18" s="14">
        <v>10</v>
      </c>
      <c r="XU18" s="17">
        <v>4</v>
      </c>
      <c r="XV18" s="14">
        <v>9</v>
      </c>
      <c r="XW18" s="17">
        <v>10</v>
      </c>
      <c r="XX18" s="14">
        <v>9</v>
      </c>
      <c r="XY18" s="17">
        <v>4</v>
      </c>
      <c r="XZ18" s="14">
        <v>4</v>
      </c>
      <c r="YA18" s="17">
        <v>2</v>
      </c>
      <c r="YB18" s="14">
        <v>5</v>
      </c>
      <c r="YC18" s="17">
        <v>7</v>
      </c>
      <c r="YD18" s="14">
        <v>6</v>
      </c>
      <c r="YE18" s="17">
        <v>10</v>
      </c>
      <c r="YF18" s="14">
        <v>2</v>
      </c>
      <c r="YG18" s="17">
        <v>2</v>
      </c>
      <c r="YH18" s="14">
        <v>7</v>
      </c>
      <c r="YI18" s="17">
        <v>7</v>
      </c>
      <c r="YJ18" s="14">
        <v>6</v>
      </c>
      <c r="YK18" s="17">
        <v>6</v>
      </c>
      <c r="YL18" s="14">
        <v>4</v>
      </c>
      <c r="YM18" s="17">
        <v>6</v>
      </c>
      <c r="YN18" s="14">
        <v>6</v>
      </c>
      <c r="YO18" s="17">
        <v>10</v>
      </c>
      <c r="YP18" s="14">
        <v>1</v>
      </c>
      <c r="YQ18" s="17">
        <v>5</v>
      </c>
      <c r="YR18" s="14">
        <v>3</v>
      </c>
      <c r="YS18" s="17">
        <v>6</v>
      </c>
      <c r="YT18" s="14">
        <v>10</v>
      </c>
      <c r="YU18" s="17">
        <v>8</v>
      </c>
      <c r="YV18" s="14">
        <v>10</v>
      </c>
      <c r="YW18" s="17">
        <v>3</v>
      </c>
      <c r="YX18" s="14">
        <v>8</v>
      </c>
      <c r="YY18" s="17">
        <v>1</v>
      </c>
      <c r="YZ18" s="14">
        <v>4</v>
      </c>
      <c r="ZA18" s="17">
        <v>4</v>
      </c>
      <c r="ZB18" s="14">
        <v>6</v>
      </c>
      <c r="ZC18" s="17">
        <v>3</v>
      </c>
      <c r="ZD18" s="14">
        <v>2</v>
      </c>
      <c r="ZE18" s="17">
        <v>2</v>
      </c>
      <c r="ZF18" s="14">
        <v>1</v>
      </c>
      <c r="ZG18" s="17">
        <v>4</v>
      </c>
      <c r="ZH18" s="14">
        <v>10</v>
      </c>
      <c r="ZI18" s="17">
        <v>3</v>
      </c>
      <c r="ZJ18" s="14">
        <v>5</v>
      </c>
      <c r="ZK18" s="17">
        <v>1</v>
      </c>
      <c r="ZL18" s="14">
        <v>6</v>
      </c>
      <c r="ZM18" s="17">
        <v>2</v>
      </c>
      <c r="ZN18" s="14">
        <v>5</v>
      </c>
      <c r="ZO18" s="17">
        <v>8</v>
      </c>
      <c r="ZP18" s="14">
        <v>8</v>
      </c>
      <c r="ZQ18" s="17">
        <v>1</v>
      </c>
      <c r="ZR18" s="14">
        <v>6</v>
      </c>
      <c r="ZS18" s="17">
        <v>4</v>
      </c>
      <c r="ZT18" s="14">
        <v>9</v>
      </c>
      <c r="ZU18" s="17">
        <v>4</v>
      </c>
      <c r="ZV18" s="14">
        <v>4</v>
      </c>
      <c r="ZW18" s="17">
        <v>9</v>
      </c>
      <c r="ZX18" s="14">
        <v>9</v>
      </c>
      <c r="ZY18" s="17">
        <v>5</v>
      </c>
      <c r="ZZ18" s="14">
        <v>9</v>
      </c>
      <c r="AAA18" s="17">
        <v>8</v>
      </c>
      <c r="AAB18" s="14">
        <v>10</v>
      </c>
      <c r="AAC18" s="17">
        <v>3</v>
      </c>
      <c r="AAD18" s="14">
        <v>1</v>
      </c>
      <c r="AAE18" s="17">
        <v>7</v>
      </c>
      <c r="AAF18" s="14">
        <v>10</v>
      </c>
      <c r="AAG18" s="17">
        <v>9</v>
      </c>
      <c r="AAH18" s="14">
        <v>1</v>
      </c>
      <c r="AAI18" s="17">
        <v>5</v>
      </c>
      <c r="AAJ18" s="14">
        <v>3</v>
      </c>
      <c r="AAK18" s="17">
        <v>1</v>
      </c>
      <c r="AAL18" s="14">
        <v>5</v>
      </c>
      <c r="AAM18" s="17">
        <v>4</v>
      </c>
      <c r="AAN18" s="14">
        <v>10</v>
      </c>
      <c r="AAO18" s="17">
        <v>5</v>
      </c>
      <c r="AAP18" s="14">
        <v>1</v>
      </c>
      <c r="AAQ18" s="17">
        <v>8</v>
      </c>
      <c r="AAR18" s="14">
        <v>1</v>
      </c>
      <c r="AAS18" s="17">
        <v>2</v>
      </c>
      <c r="AAT18" s="14">
        <v>7</v>
      </c>
      <c r="AAU18" s="17">
        <v>5</v>
      </c>
      <c r="AAV18" s="14">
        <v>6</v>
      </c>
      <c r="AAW18" s="17">
        <v>2</v>
      </c>
      <c r="AAX18" s="14">
        <v>1</v>
      </c>
      <c r="AAY18" s="17">
        <v>5</v>
      </c>
      <c r="AAZ18" s="14">
        <v>7</v>
      </c>
      <c r="ABA18" s="17">
        <v>4</v>
      </c>
      <c r="ABB18" s="14">
        <v>7</v>
      </c>
      <c r="ABC18" s="17">
        <v>9</v>
      </c>
      <c r="ABD18" s="14">
        <v>2</v>
      </c>
      <c r="ABE18" s="17">
        <v>6</v>
      </c>
      <c r="ABF18" s="14">
        <v>8</v>
      </c>
      <c r="ABG18" s="17">
        <v>10</v>
      </c>
      <c r="ABH18" s="14">
        <v>9</v>
      </c>
      <c r="ABI18" s="17">
        <v>2</v>
      </c>
      <c r="ABJ18" s="14">
        <v>3</v>
      </c>
      <c r="ABK18" s="17">
        <v>4</v>
      </c>
      <c r="ABL18" s="14">
        <v>9</v>
      </c>
      <c r="ABM18" s="17">
        <v>8</v>
      </c>
      <c r="ABN18" s="14">
        <v>9</v>
      </c>
      <c r="ABO18" s="17">
        <v>1</v>
      </c>
      <c r="ABP18" s="14">
        <v>1</v>
      </c>
      <c r="ABQ18" s="17">
        <v>4</v>
      </c>
      <c r="ABR18" s="14">
        <v>9</v>
      </c>
      <c r="ABS18" s="17">
        <v>5</v>
      </c>
      <c r="ABT18" s="14">
        <v>6</v>
      </c>
      <c r="ABU18" s="17">
        <v>8</v>
      </c>
      <c r="ABV18" s="14">
        <v>7</v>
      </c>
      <c r="ABW18" s="17">
        <v>3</v>
      </c>
      <c r="ABX18" s="14">
        <v>1</v>
      </c>
      <c r="ABY18" s="17">
        <v>6</v>
      </c>
      <c r="ABZ18" s="14">
        <v>6</v>
      </c>
      <c r="ACA18" s="17">
        <v>6</v>
      </c>
      <c r="ACB18" s="14">
        <v>5</v>
      </c>
      <c r="ACC18" s="17">
        <v>4</v>
      </c>
      <c r="ACD18" s="14">
        <v>9</v>
      </c>
      <c r="ACE18" s="17">
        <v>5</v>
      </c>
      <c r="ACF18" s="14">
        <v>1</v>
      </c>
      <c r="ACG18" s="17">
        <v>5</v>
      </c>
      <c r="ACH18" s="14">
        <v>7</v>
      </c>
      <c r="ACI18" s="17">
        <v>1</v>
      </c>
      <c r="ACJ18" s="14">
        <v>9</v>
      </c>
      <c r="ACK18" s="17">
        <v>5</v>
      </c>
      <c r="ACL18" s="14">
        <v>4</v>
      </c>
      <c r="ACM18" s="17">
        <v>3</v>
      </c>
      <c r="ACN18" s="14">
        <v>6</v>
      </c>
      <c r="ACO18" s="17">
        <v>7</v>
      </c>
      <c r="ACP18" s="14">
        <v>3</v>
      </c>
      <c r="ACQ18" s="17">
        <v>2</v>
      </c>
      <c r="ACR18" s="14">
        <v>7</v>
      </c>
      <c r="ACS18" s="17">
        <v>9</v>
      </c>
      <c r="ACT18" s="14">
        <v>10</v>
      </c>
      <c r="ACU18" s="17">
        <v>4</v>
      </c>
      <c r="ACV18" s="14">
        <v>7</v>
      </c>
      <c r="ACW18" s="17">
        <v>4</v>
      </c>
      <c r="ACX18" s="14">
        <v>10</v>
      </c>
      <c r="ACY18" s="17">
        <v>3</v>
      </c>
      <c r="ACZ18" s="14">
        <v>7</v>
      </c>
      <c r="ADA18" s="17">
        <v>5</v>
      </c>
      <c r="ADB18" s="14">
        <v>10</v>
      </c>
      <c r="ADC18" s="17">
        <v>6</v>
      </c>
      <c r="ADD18" s="14">
        <v>8</v>
      </c>
      <c r="ADE18" s="17">
        <v>9</v>
      </c>
      <c r="ADF18" s="14">
        <v>3</v>
      </c>
      <c r="ADG18" s="17">
        <v>4</v>
      </c>
      <c r="ADH18" s="14">
        <v>3</v>
      </c>
      <c r="ADI18" s="17">
        <v>10</v>
      </c>
      <c r="ADJ18" s="14">
        <v>9</v>
      </c>
      <c r="ADK18" s="17">
        <v>4</v>
      </c>
      <c r="ADL18" s="14">
        <v>3</v>
      </c>
      <c r="ADM18" s="17">
        <v>5</v>
      </c>
      <c r="ADN18" s="14">
        <v>9</v>
      </c>
      <c r="ADO18" s="17">
        <v>3</v>
      </c>
      <c r="ADP18" s="14">
        <v>7</v>
      </c>
      <c r="ADQ18" s="17">
        <v>3</v>
      </c>
      <c r="ADR18" s="14">
        <v>10</v>
      </c>
      <c r="ADS18" s="17">
        <v>3</v>
      </c>
      <c r="ADT18" s="14">
        <v>6</v>
      </c>
      <c r="ADU18" s="17">
        <v>2</v>
      </c>
      <c r="ADV18" s="14">
        <v>9</v>
      </c>
      <c r="ADW18" s="17">
        <v>9</v>
      </c>
      <c r="ADX18" s="14">
        <v>2</v>
      </c>
      <c r="ADY18" s="17">
        <v>3</v>
      </c>
      <c r="ADZ18" s="14">
        <v>6</v>
      </c>
      <c r="AEA18" s="17">
        <v>3</v>
      </c>
      <c r="AEB18" s="14">
        <v>1</v>
      </c>
      <c r="AEC18" s="17">
        <v>6</v>
      </c>
      <c r="AED18" s="14">
        <v>7</v>
      </c>
      <c r="AEE18" s="17">
        <v>7</v>
      </c>
      <c r="AEF18" s="14">
        <v>5</v>
      </c>
      <c r="AEG18" s="17">
        <v>8</v>
      </c>
      <c r="AEH18" s="14">
        <v>5</v>
      </c>
      <c r="AEI18" s="17">
        <v>3</v>
      </c>
      <c r="AEJ18" s="14">
        <v>4</v>
      </c>
      <c r="AEK18" s="17">
        <v>2</v>
      </c>
      <c r="AEL18" s="14">
        <v>3</v>
      </c>
      <c r="AEM18" s="17">
        <v>3</v>
      </c>
      <c r="AEN18" s="14">
        <v>1</v>
      </c>
      <c r="AEO18" s="17">
        <v>10</v>
      </c>
      <c r="AEP18" s="14">
        <v>10</v>
      </c>
      <c r="AEQ18" s="17">
        <v>5</v>
      </c>
      <c r="AER18" s="14">
        <v>10</v>
      </c>
      <c r="AES18" s="17">
        <v>10</v>
      </c>
      <c r="AET18" s="14">
        <v>10</v>
      </c>
      <c r="AEU18" s="17">
        <v>4</v>
      </c>
      <c r="AEV18" s="14">
        <v>10</v>
      </c>
      <c r="AEW18" s="17">
        <v>4</v>
      </c>
      <c r="AEX18" s="14">
        <v>4</v>
      </c>
      <c r="AEY18" s="17">
        <v>1</v>
      </c>
      <c r="AEZ18" s="14">
        <v>6</v>
      </c>
      <c r="AFA18" s="17">
        <v>2</v>
      </c>
      <c r="AFB18" s="14">
        <v>8</v>
      </c>
      <c r="AFC18" s="17">
        <v>3</v>
      </c>
      <c r="AFD18" s="14">
        <v>9</v>
      </c>
      <c r="AFE18" s="17">
        <v>10</v>
      </c>
      <c r="AFF18" s="14">
        <v>8</v>
      </c>
      <c r="AFG18" s="17">
        <v>6</v>
      </c>
      <c r="AFH18" s="14">
        <v>3</v>
      </c>
      <c r="AFI18" s="17">
        <v>7</v>
      </c>
      <c r="AFJ18" s="14">
        <v>8</v>
      </c>
      <c r="AFK18" s="17">
        <v>8</v>
      </c>
      <c r="AFL18" s="14">
        <v>3</v>
      </c>
      <c r="AFM18" s="17">
        <v>3</v>
      </c>
      <c r="AFN18" s="14">
        <v>4</v>
      </c>
      <c r="AFO18" s="17">
        <v>4</v>
      </c>
      <c r="AFP18" s="14">
        <v>1</v>
      </c>
      <c r="AFQ18" s="17">
        <v>7</v>
      </c>
      <c r="AFR18" s="14">
        <v>1</v>
      </c>
      <c r="AFS18" s="17">
        <v>5</v>
      </c>
      <c r="AFT18" s="14">
        <v>7</v>
      </c>
      <c r="AFU18" s="17">
        <v>4</v>
      </c>
      <c r="AFV18" s="14">
        <v>4</v>
      </c>
      <c r="AFW18" s="17">
        <v>4</v>
      </c>
      <c r="AFX18" s="14">
        <v>2</v>
      </c>
      <c r="AFY18" s="17">
        <v>3</v>
      </c>
      <c r="AFZ18" s="14">
        <v>8</v>
      </c>
      <c r="AGA18" s="17">
        <v>10</v>
      </c>
      <c r="AGB18" s="14">
        <v>8</v>
      </c>
      <c r="AGC18" s="17">
        <v>6</v>
      </c>
      <c r="AGD18" s="14">
        <v>8</v>
      </c>
      <c r="AGE18" s="17">
        <v>4</v>
      </c>
      <c r="AGF18" s="14">
        <v>7</v>
      </c>
      <c r="AGG18" s="17">
        <v>7</v>
      </c>
      <c r="AGH18" s="14">
        <v>1</v>
      </c>
      <c r="AGI18" s="17">
        <v>10</v>
      </c>
      <c r="AGJ18" s="14">
        <v>7</v>
      </c>
      <c r="AGK18" s="17">
        <v>6</v>
      </c>
      <c r="AGL18" s="14">
        <v>7</v>
      </c>
      <c r="AGM18" s="17">
        <v>10</v>
      </c>
      <c r="AGN18" s="14">
        <v>10</v>
      </c>
      <c r="AGO18" s="17">
        <v>10</v>
      </c>
      <c r="AGP18" s="14">
        <v>9</v>
      </c>
      <c r="AGQ18" s="17">
        <v>9</v>
      </c>
      <c r="AGR18" s="14">
        <v>1</v>
      </c>
      <c r="AGS18" s="17">
        <v>9</v>
      </c>
      <c r="AGT18" s="14">
        <v>2</v>
      </c>
      <c r="AGU18" s="17">
        <v>8</v>
      </c>
      <c r="AGV18" s="14">
        <v>8</v>
      </c>
      <c r="AGW18" s="17">
        <v>1</v>
      </c>
      <c r="AGX18" s="14">
        <v>4</v>
      </c>
      <c r="AGY18" s="17">
        <v>9</v>
      </c>
      <c r="AGZ18" s="14">
        <v>9</v>
      </c>
      <c r="AHA18" s="17">
        <v>7</v>
      </c>
      <c r="AHB18" s="14">
        <v>1</v>
      </c>
      <c r="AHC18" s="17">
        <v>9</v>
      </c>
      <c r="AHD18" s="14">
        <v>7</v>
      </c>
      <c r="AHE18" s="17">
        <v>9</v>
      </c>
      <c r="AHF18" s="14">
        <v>1</v>
      </c>
      <c r="AHG18" s="17">
        <v>4</v>
      </c>
      <c r="AHH18" s="14">
        <v>5</v>
      </c>
      <c r="AHI18" s="17">
        <v>8</v>
      </c>
      <c r="AHJ18" s="14">
        <v>7</v>
      </c>
      <c r="AHK18" s="17">
        <v>5</v>
      </c>
      <c r="AHL18" s="14">
        <v>5</v>
      </c>
      <c r="AHM18" s="17">
        <v>8</v>
      </c>
      <c r="AHN18" s="14">
        <v>3</v>
      </c>
      <c r="AHO18" s="17">
        <v>7</v>
      </c>
      <c r="AHP18" s="14">
        <v>5</v>
      </c>
      <c r="AHQ18" s="17">
        <v>10</v>
      </c>
      <c r="AHR18" s="14">
        <v>1</v>
      </c>
      <c r="AHS18" s="17">
        <v>9</v>
      </c>
      <c r="AHT18" s="14">
        <v>3</v>
      </c>
      <c r="AHU18" s="17">
        <v>8</v>
      </c>
      <c r="AHV18" s="14">
        <v>8</v>
      </c>
      <c r="AHW18" s="17">
        <v>2</v>
      </c>
      <c r="AHX18" s="14">
        <v>9</v>
      </c>
      <c r="AHY18" s="17">
        <v>2</v>
      </c>
      <c r="AHZ18" s="14">
        <v>3</v>
      </c>
      <c r="AIA18" s="17">
        <v>10</v>
      </c>
      <c r="AIB18" s="14">
        <v>9</v>
      </c>
      <c r="AIC18" s="17">
        <v>3</v>
      </c>
      <c r="AID18" s="14">
        <v>7</v>
      </c>
      <c r="AIE18" s="17">
        <v>7</v>
      </c>
      <c r="AIF18" s="14">
        <v>6</v>
      </c>
      <c r="AIG18" s="17">
        <v>8</v>
      </c>
      <c r="AIH18" s="14">
        <v>1</v>
      </c>
      <c r="AII18" s="17">
        <v>3</v>
      </c>
      <c r="AIJ18" s="14">
        <v>8</v>
      </c>
      <c r="AIK18" s="17">
        <v>10</v>
      </c>
      <c r="AIL18" s="14">
        <v>4</v>
      </c>
      <c r="AIM18" s="17">
        <v>8</v>
      </c>
      <c r="AIN18" s="14">
        <v>2</v>
      </c>
      <c r="AIO18" s="17">
        <v>5</v>
      </c>
      <c r="AIP18" s="14">
        <v>6</v>
      </c>
      <c r="AIQ18" s="17">
        <v>3</v>
      </c>
      <c r="AIR18" s="14">
        <v>2</v>
      </c>
      <c r="AIS18" s="17">
        <v>2</v>
      </c>
      <c r="AIT18" s="14">
        <v>2</v>
      </c>
      <c r="AIU18" s="17">
        <v>8</v>
      </c>
      <c r="AIV18" s="14">
        <v>6</v>
      </c>
      <c r="AIW18" s="17">
        <v>2</v>
      </c>
      <c r="AIX18" s="14">
        <v>9</v>
      </c>
      <c r="AIY18" s="17">
        <v>7</v>
      </c>
      <c r="AIZ18" s="14">
        <v>9</v>
      </c>
      <c r="AJA18" s="17">
        <v>10</v>
      </c>
      <c r="AJB18" s="14">
        <v>3</v>
      </c>
      <c r="AJC18" s="17">
        <v>7</v>
      </c>
      <c r="AJD18" s="14">
        <v>9</v>
      </c>
      <c r="AJE18" s="17">
        <v>7</v>
      </c>
      <c r="AJF18" s="14">
        <v>1</v>
      </c>
      <c r="AJG18" s="17">
        <v>3</v>
      </c>
      <c r="AJH18" s="14">
        <v>6</v>
      </c>
      <c r="AJI18" s="17">
        <v>10</v>
      </c>
      <c r="AJJ18" s="14">
        <v>3</v>
      </c>
      <c r="AJK18" s="17">
        <v>3</v>
      </c>
      <c r="AJL18" s="14">
        <v>3</v>
      </c>
      <c r="AJM18" s="17">
        <v>3</v>
      </c>
      <c r="AJN18" s="14">
        <v>1</v>
      </c>
      <c r="AJO18" s="17">
        <v>7</v>
      </c>
      <c r="AJP18" s="14">
        <v>5</v>
      </c>
      <c r="AJQ18" s="17">
        <v>5</v>
      </c>
      <c r="AJR18" s="14">
        <v>8</v>
      </c>
      <c r="AJS18" s="17">
        <v>5</v>
      </c>
      <c r="AJT18" s="14">
        <v>3</v>
      </c>
      <c r="AJU18" s="17">
        <v>2</v>
      </c>
      <c r="AJV18" s="14">
        <v>3</v>
      </c>
      <c r="AJW18" s="17">
        <v>4</v>
      </c>
      <c r="AJX18" s="14">
        <v>1</v>
      </c>
      <c r="AJY18" s="17">
        <v>10</v>
      </c>
      <c r="AJZ18" s="14">
        <v>5</v>
      </c>
      <c r="AKA18" s="17">
        <v>1</v>
      </c>
      <c r="AKB18" s="14">
        <v>8</v>
      </c>
      <c r="AKC18" s="17">
        <v>8</v>
      </c>
      <c r="AKD18" s="14">
        <v>8</v>
      </c>
      <c r="AKE18" s="17">
        <v>9</v>
      </c>
      <c r="AKF18" s="14">
        <v>1</v>
      </c>
      <c r="AKG18" s="17">
        <v>10</v>
      </c>
      <c r="AKH18" s="14">
        <v>8</v>
      </c>
      <c r="AKI18" s="17">
        <v>4</v>
      </c>
      <c r="AKJ18" s="14">
        <v>4</v>
      </c>
      <c r="AKK18" s="17">
        <v>10</v>
      </c>
      <c r="AKL18" s="14">
        <v>8</v>
      </c>
      <c r="AKM18" s="17">
        <v>8</v>
      </c>
      <c r="AKN18" s="14">
        <v>7</v>
      </c>
      <c r="AKO18" s="17">
        <v>8</v>
      </c>
      <c r="AKP18" s="14">
        <v>2</v>
      </c>
      <c r="AKQ18" s="17">
        <v>10</v>
      </c>
      <c r="AKR18" s="14">
        <v>10</v>
      </c>
      <c r="AKS18" s="17">
        <v>1</v>
      </c>
      <c r="AKT18" s="14">
        <v>4</v>
      </c>
      <c r="AKU18" s="17">
        <v>9</v>
      </c>
      <c r="AKV18" s="14">
        <v>5</v>
      </c>
      <c r="AKW18" s="17">
        <v>10</v>
      </c>
      <c r="AKX18" s="14">
        <v>9</v>
      </c>
      <c r="AKY18" s="17">
        <v>4</v>
      </c>
      <c r="AKZ18" s="14">
        <v>1</v>
      </c>
      <c r="ALA18" s="17">
        <v>3</v>
      </c>
      <c r="ALB18" s="14">
        <v>3</v>
      </c>
      <c r="ALC18" s="17">
        <v>1</v>
      </c>
      <c r="ALD18" s="14">
        <v>6</v>
      </c>
      <c r="ALE18" s="17">
        <v>1</v>
      </c>
      <c r="ALF18" s="14">
        <v>3</v>
      </c>
      <c r="ALG18" s="17">
        <v>1</v>
      </c>
      <c r="ALH18" s="14">
        <v>10</v>
      </c>
      <c r="ALI18" s="17">
        <v>10</v>
      </c>
      <c r="ALJ18" s="14">
        <v>5</v>
      </c>
      <c r="ALK18" s="17">
        <v>6</v>
      </c>
      <c r="ALL18" s="14">
        <v>2</v>
      </c>
      <c r="ALM18" s="17">
        <v>1</v>
      </c>
      <c r="ALN18" s="14">
        <v>2</v>
      </c>
      <c r="ALO18" s="17">
        <v>7</v>
      </c>
      <c r="ALP18" s="14">
        <v>3</v>
      </c>
      <c r="ALQ18" s="17">
        <v>3</v>
      </c>
      <c r="ALR18" s="14">
        <v>5</v>
      </c>
      <c r="ALS18" s="17">
        <v>10</v>
      </c>
      <c r="ALT18" s="14">
        <v>10</v>
      </c>
      <c r="ALU18" s="17">
        <v>10</v>
      </c>
      <c r="ALV18" s="14">
        <v>9</v>
      </c>
      <c r="ALW18" s="17">
        <v>3</v>
      </c>
      <c r="ALX18" s="14">
        <v>8</v>
      </c>
      <c r="ALY18" s="21">
        <v>10</v>
      </c>
    </row>
    <row r="19" spans="1:1013" x14ac:dyDescent="0.25">
      <c r="A19" t="s">
        <v>27</v>
      </c>
      <c r="B19" s="1">
        <v>45046</v>
      </c>
      <c r="C19" t="s">
        <v>1010</v>
      </c>
      <c r="D19" t="s">
        <v>1016</v>
      </c>
      <c r="E19" t="s">
        <v>1026</v>
      </c>
      <c r="F19" t="s">
        <v>1033</v>
      </c>
      <c r="G19">
        <v>7</v>
      </c>
      <c r="H19">
        <v>22575</v>
      </c>
      <c r="I19">
        <v>0</v>
      </c>
      <c r="J19" t="s">
        <v>1038</v>
      </c>
      <c r="K19">
        <v>158025</v>
      </c>
      <c r="N19" s="14">
        <v>24605</v>
      </c>
      <c r="O19" s="17">
        <v>3348</v>
      </c>
      <c r="P19" s="14">
        <v>7103</v>
      </c>
      <c r="Q19" s="17">
        <v>20614</v>
      </c>
      <c r="R19" s="14">
        <v>22156</v>
      </c>
      <c r="S19" s="17">
        <v>25154</v>
      </c>
      <c r="T19" s="14">
        <v>25834</v>
      </c>
      <c r="U19" s="17">
        <v>5434</v>
      </c>
      <c r="V19" s="14">
        <v>29005</v>
      </c>
      <c r="W19" s="17">
        <v>37075</v>
      </c>
      <c r="X19" s="14">
        <v>5254</v>
      </c>
      <c r="Y19" s="17">
        <v>20191</v>
      </c>
      <c r="Z19" s="14">
        <v>31855</v>
      </c>
      <c r="AA19" s="17">
        <v>9817</v>
      </c>
      <c r="AB19" s="14">
        <v>8996</v>
      </c>
      <c r="AC19" s="17">
        <v>46522</v>
      </c>
      <c r="AD19" s="14">
        <v>18984</v>
      </c>
      <c r="AE19" s="17">
        <v>22575</v>
      </c>
      <c r="AF19" s="14">
        <v>35540</v>
      </c>
      <c r="AG19" s="17">
        <v>28116</v>
      </c>
      <c r="AH19" s="14">
        <v>35383</v>
      </c>
      <c r="AI19" s="17">
        <v>14752</v>
      </c>
      <c r="AJ19" s="14">
        <v>46601</v>
      </c>
      <c r="AK19" s="17">
        <v>14700</v>
      </c>
      <c r="AL19" s="14">
        <v>41111</v>
      </c>
      <c r="AM19" s="17">
        <v>4813</v>
      </c>
      <c r="AN19" s="14">
        <v>8163</v>
      </c>
      <c r="AO19" s="17">
        <v>38445</v>
      </c>
      <c r="AP19" s="14">
        <v>48823</v>
      </c>
      <c r="AQ19" s="17">
        <v>42220</v>
      </c>
      <c r="AR19" s="14">
        <v>35665</v>
      </c>
      <c r="AS19" s="17">
        <v>6745</v>
      </c>
      <c r="AT19" s="14">
        <v>32697</v>
      </c>
      <c r="AU19" s="17">
        <v>48452</v>
      </c>
      <c r="AV19" s="14">
        <v>46131</v>
      </c>
      <c r="AW19" s="17">
        <v>40634</v>
      </c>
      <c r="AX19" s="14">
        <v>47321</v>
      </c>
      <c r="AY19" s="17">
        <v>19821</v>
      </c>
      <c r="AZ19" s="14">
        <v>28987</v>
      </c>
      <c r="BA19" s="17">
        <v>40901</v>
      </c>
      <c r="BB19" s="14">
        <v>21741</v>
      </c>
      <c r="BC19" s="17">
        <v>18017</v>
      </c>
      <c r="BD19" s="14">
        <v>35432</v>
      </c>
      <c r="BE19" s="17">
        <v>38692</v>
      </c>
      <c r="BF19" s="14">
        <v>41844</v>
      </c>
      <c r="BG19" s="17">
        <v>24190</v>
      </c>
      <c r="BH19" s="14">
        <v>9500</v>
      </c>
      <c r="BI19" s="17">
        <v>41258</v>
      </c>
      <c r="BJ19" s="14">
        <v>37872</v>
      </c>
      <c r="BK19" s="17">
        <v>33531</v>
      </c>
      <c r="BL19" s="14">
        <v>35059</v>
      </c>
      <c r="BM19" s="17">
        <v>48787</v>
      </c>
      <c r="BN19" s="14">
        <v>42409</v>
      </c>
      <c r="BO19" s="17">
        <v>33619</v>
      </c>
      <c r="BP19" s="14">
        <v>33276</v>
      </c>
      <c r="BQ19" s="17">
        <v>12790</v>
      </c>
      <c r="BR19" s="14">
        <v>40938</v>
      </c>
      <c r="BS19" s="17">
        <v>16251</v>
      </c>
      <c r="BT19" s="14">
        <v>47437</v>
      </c>
      <c r="BU19" s="17">
        <v>20037</v>
      </c>
      <c r="BV19" s="14">
        <v>13684</v>
      </c>
      <c r="BW19" s="17">
        <v>1103</v>
      </c>
      <c r="BX19" s="14">
        <v>8746</v>
      </c>
      <c r="BY19" s="17">
        <v>2571</v>
      </c>
      <c r="BZ19" s="14">
        <v>31466</v>
      </c>
      <c r="CA19" s="17">
        <v>41990</v>
      </c>
      <c r="CB19" s="14">
        <v>8728</v>
      </c>
      <c r="CC19" s="17">
        <v>49330</v>
      </c>
      <c r="CD19" s="14">
        <v>14587</v>
      </c>
      <c r="CE19" s="17">
        <v>41324</v>
      </c>
      <c r="CF19" s="14">
        <v>28173</v>
      </c>
      <c r="CG19" s="17">
        <v>28134</v>
      </c>
      <c r="CH19" s="14">
        <v>3981</v>
      </c>
      <c r="CI19" s="17">
        <v>22875</v>
      </c>
      <c r="CJ19" s="14">
        <v>23914</v>
      </c>
      <c r="CK19" s="17">
        <v>37727</v>
      </c>
      <c r="CL19" s="14">
        <v>42779</v>
      </c>
      <c r="CM19" s="17">
        <v>14915</v>
      </c>
      <c r="CN19" s="14">
        <v>1740</v>
      </c>
      <c r="CO19" s="17">
        <v>42983</v>
      </c>
      <c r="CP19" s="14">
        <v>14185</v>
      </c>
      <c r="CQ19" s="17">
        <v>46220</v>
      </c>
      <c r="CR19" s="14">
        <v>19456</v>
      </c>
      <c r="CS19" s="17">
        <v>17673</v>
      </c>
      <c r="CT19" s="14">
        <v>5445</v>
      </c>
      <c r="CU19" s="17">
        <v>21170</v>
      </c>
      <c r="CV19" s="14">
        <v>20679</v>
      </c>
      <c r="CW19" s="17">
        <v>34206</v>
      </c>
      <c r="CX19" s="14">
        <v>37044</v>
      </c>
      <c r="CY19" s="17">
        <v>22228</v>
      </c>
      <c r="CZ19" s="14">
        <v>1401</v>
      </c>
      <c r="DA19" s="17">
        <v>8460</v>
      </c>
      <c r="DB19" s="14">
        <v>45946</v>
      </c>
      <c r="DC19" s="17">
        <v>22842</v>
      </c>
      <c r="DD19" s="14">
        <v>23371</v>
      </c>
      <c r="DE19" s="17">
        <v>26955</v>
      </c>
      <c r="DF19" s="14">
        <v>48474</v>
      </c>
      <c r="DG19" s="17">
        <v>38284</v>
      </c>
      <c r="DH19" s="14">
        <v>41369</v>
      </c>
      <c r="DI19" s="17">
        <v>2908</v>
      </c>
      <c r="DJ19" s="14">
        <v>12510</v>
      </c>
      <c r="DK19" s="17">
        <v>13715</v>
      </c>
      <c r="DL19" s="14">
        <v>22660</v>
      </c>
      <c r="DM19" s="17">
        <v>23147</v>
      </c>
      <c r="DN19" s="14">
        <v>45071</v>
      </c>
      <c r="DO19" s="17">
        <v>32398</v>
      </c>
      <c r="DP19" s="14">
        <v>32096</v>
      </c>
      <c r="DQ19" s="17">
        <v>3330</v>
      </c>
      <c r="DR19" s="14">
        <v>43313</v>
      </c>
      <c r="DS19" s="17">
        <v>9896</v>
      </c>
      <c r="DT19" s="14">
        <v>32555</v>
      </c>
      <c r="DU19" s="17">
        <v>11183</v>
      </c>
      <c r="DV19" s="14">
        <v>42104</v>
      </c>
      <c r="DW19" s="17">
        <v>31187</v>
      </c>
      <c r="DX19" s="14">
        <v>36190</v>
      </c>
      <c r="DY19" s="17">
        <v>22961</v>
      </c>
      <c r="DZ19" s="14">
        <v>31308</v>
      </c>
      <c r="EA19" s="17">
        <v>28128</v>
      </c>
      <c r="EB19" s="14">
        <v>49666</v>
      </c>
      <c r="EC19" s="17">
        <v>4671</v>
      </c>
      <c r="ED19" s="14">
        <v>35149</v>
      </c>
      <c r="EE19" s="17">
        <v>20617</v>
      </c>
      <c r="EF19" s="14">
        <v>38024</v>
      </c>
      <c r="EG19" s="17">
        <v>48511</v>
      </c>
      <c r="EH19" s="14">
        <v>45446</v>
      </c>
      <c r="EI19" s="17">
        <v>21676</v>
      </c>
      <c r="EJ19" s="14">
        <v>37384</v>
      </c>
      <c r="EK19" s="17">
        <v>36119</v>
      </c>
      <c r="EL19" s="14">
        <v>2226</v>
      </c>
      <c r="EM19" s="17">
        <v>14648</v>
      </c>
      <c r="EN19" s="14">
        <v>38840</v>
      </c>
      <c r="EO19" s="17">
        <v>45924</v>
      </c>
      <c r="EP19" s="14">
        <v>22739</v>
      </c>
      <c r="EQ19" s="17">
        <v>24173</v>
      </c>
      <c r="ER19" s="14">
        <v>5339</v>
      </c>
      <c r="ES19" s="17">
        <v>10784</v>
      </c>
      <c r="ET19" s="14">
        <v>19380</v>
      </c>
      <c r="EU19" s="17">
        <v>3042</v>
      </c>
      <c r="EV19" s="14">
        <v>23226</v>
      </c>
      <c r="EW19" s="17">
        <v>25591</v>
      </c>
      <c r="EX19" s="14">
        <v>42059</v>
      </c>
      <c r="EY19" s="17">
        <v>36014</v>
      </c>
      <c r="EZ19" s="14">
        <v>11876</v>
      </c>
      <c r="FA19" s="17">
        <v>38419</v>
      </c>
      <c r="FB19" s="14">
        <v>40694</v>
      </c>
      <c r="FC19" s="17">
        <v>26530</v>
      </c>
      <c r="FD19" s="14">
        <v>13280</v>
      </c>
      <c r="FE19" s="17">
        <v>40006</v>
      </c>
      <c r="FF19" s="14">
        <v>8657</v>
      </c>
      <c r="FG19" s="17">
        <v>21203</v>
      </c>
      <c r="FH19" s="14">
        <v>47220</v>
      </c>
      <c r="FI19" s="17">
        <v>21611</v>
      </c>
      <c r="FJ19" s="14">
        <v>47520</v>
      </c>
      <c r="FK19" s="17">
        <v>3072</v>
      </c>
      <c r="FL19" s="14">
        <v>18792</v>
      </c>
      <c r="FM19" s="17">
        <v>28123</v>
      </c>
      <c r="FN19" s="14">
        <v>6688</v>
      </c>
      <c r="FO19" s="17">
        <v>33574</v>
      </c>
      <c r="FP19" s="14">
        <v>16574</v>
      </c>
      <c r="FQ19" s="17">
        <v>25352</v>
      </c>
      <c r="FR19" s="14">
        <v>30616</v>
      </c>
      <c r="FS19" s="17">
        <v>20833</v>
      </c>
      <c r="FT19" s="14">
        <v>15164</v>
      </c>
      <c r="FU19" s="17">
        <v>35412</v>
      </c>
      <c r="FV19" s="14">
        <v>20812</v>
      </c>
      <c r="FW19" s="17">
        <v>12469</v>
      </c>
      <c r="FX19" s="14">
        <v>8355</v>
      </c>
      <c r="FY19" s="17">
        <v>25524</v>
      </c>
      <c r="FZ19" s="14">
        <v>3450</v>
      </c>
      <c r="GA19" s="17">
        <v>14244</v>
      </c>
      <c r="GB19" s="14">
        <v>7068</v>
      </c>
      <c r="GC19" s="17">
        <v>30083</v>
      </c>
      <c r="GD19" s="14">
        <v>34160</v>
      </c>
      <c r="GE19" s="17">
        <v>2634</v>
      </c>
      <c r="GF19" s="14">
        <v>32631</v>
      </c>
      <c r="GG19" s="17">
        <v>33771</v>
      </c>
      <c r="GH19" s="14">
        <v>11097</v>
      </c>
      <c r="GI19" s="17">
        <v>13465</v>
      </c>
      <c r="GJ19" s="14">
        <v>23289</v>
      </c>
      <c r="GK19" s="17">
        <v>32684</v>
      </c>
      <c r="GL19" s="14">
        <v>49001</v>
      </c>
      <c r="GM19" s="17">
        <v>35316</v>
      </c>
      <c r="GN19" s="14">
        <v>21339</v>
      </c>
      <c r="GO19" s="17">
        <v>22452</v>
      </c>
      <c r="GP19" s="14">
        <v>10390</v>
      </c>
      <c r="GQ19" s="17">
        <v>7439</v>
      </c>
      <c r="GR19" s="14">
        <v>34826</v>
      </c>
      <c r="GS19" s="17">
        <v>45349</v>
      </c>
      <c r="GT19" s="14">
        <v>9697</v>
      </c>
      <c r="GU19" s="17">
        <v>14447</v>
      </c>
      <c r="GV19" s="14">
        <v>48485</v>
      </c>
      <c r="GW19" s="17">
        <v>3395</v>
      </c>
      <c r="GX19" s="14">
        <v>31105</v>
      </c>
      <c r="GY19" s="17">
        <v>26400</v>
      </c>
      <c r="GZ19" s="14">
        <v>47771</v>
      </c>
      <c r="HA19" s="17">
        <v>35232</v>
      </c>
      <c r="HB19" s="14">
        <v>8591</v>
      </c>
      <c r="HC19" s="17">
        <v>1269</v>
      </c>
      <c r="HD19" s="14">
        <v>21380</v>
      </c>
      <c r="HE19" s="17">
        <v>3885</v>
      </c>
      <c r="HF19" s="14">
        <v>46026</v>
      </c>
      <c r="HG19" s="17">
        <v>39947</v>
      </c>
      <c r="HH19" s="14">
        <v>6706</v>
      </c>
      <c r="HI19" s="17">
        <v>22842</v>
      </c>
      <c r="HJ19" s="14">
        <v>31597</v>
      </c>
      <c r="HK19" s="17">
        <v>4023</v>
      </c>
      <c r="HL19" s="14">
        <v>7756</v>
      </c>
      <c r="HM19" s="17">
        <v>35116</v>
      </c>
      <c r="HN19" s="14">
        <v>44187</v>
      </c>
      <c r="HO19" s="17">
        <v>49860</v>
      </c>
      <c r="HP19" s="14">
        <v>21478</v>
      </c>
      <c r="HQ19" s="17">
        <v>2473</v>
      </c>
      <c r="HR19" s="14">
        <v>38850</v>
      </c>
      <c r="HS19" s="17">
        <v>21456</v>
      </c>
      <c r="HT19" s="14">
        <v>42867</v>
      </c>
      <c r="HU19" s="17">
        <v>14752</v>
      </c>
      <c r="HV19" s="14">
        <v>22029</v>
      </c>
      <c r="HW19" s="17">
        <v>14143</v>
      </c>
      <c r="HX19" s="14">
        <v>13618</v>
      </c>
      <c r="HY19" s="17">
        <v>19780</v>
      </c>
      <c r="HZ19" s="14">
        <v>19130</v>
      </c>
      <c r="IA19" s="17">
        <v>35883</v>
      </c>
      <c r="IB19" s="14">
        <v>21915</v>
      </c>
      <c r="IC19" s="17">
        <v>29908</v>
      </c>
      <c r="ID19" s="14">
        <v>44982</v>
      </c>
      <c r="IE19" s="17">
        <v>8710</v>
      </c>
      <c r="IF19" s="14">
        <v>18868</v>
      </c>
      <c r="IG19" s="17">
        <v>10785</v>
      </c>
      <c r="IH19" s="14">
        <v>11321</v>
      </c>
      <c r="II19" s="17">
        <v>18933</v>
      </c>
      <c r="IJ19" s="14">
        <v>8501</v>
      </c>
      <c r="IK19" s="17">
        <v>1999</v>
      </c>
      <c r="IL19" s="14">
        <v>41825</v>
      </c>
      <c r="IM19" s="17">
        <v>37675</v>
      </c>
      <c r="IN19" s="14">
        <v>34689</v>
      </c>
      <c r="IO19" s="17">
        <v>7709</v>
      </c>
      <c r="IP19" s="14">
        <v>14538</v>
      </c>
      <c r="IQ19" s="17">
        <v>36555</v>
      </c>
      <c r="IR19" s="14">
        <v>23958</v>
      </c>
      <c r="IS19" s="17">
        <v>37003</v>
      </c>
      <c r="IT19" s="14">
        <v>21872</v>
      </c>
      <c r="IU19" s="17">
        <v>18763</v>
      </c>
      <c r="IV19" s="14">
        <v>10277</v>
      </c>
      <c r="IW19" s="17">
        <v>47160</v>
      </c>
      <c r="IX19" s="14">
        <v>19564</v>
      </c>
      <c r="IY19" s="17">
        <v>38623</v>
      </c>
      <c r="IZ19" s="14">
        <v>17044</v>
      </c>
      <c r="JA19" s="17">
        <v>12224</v>
      </c>
      <c r="JB19" s="14">
        <v>5668</v>
      </c>
      <c r="JC19" s="17">
        <v>21406</v>
      </c>
      <c r="JD19" s="14">
        <v>41190</v>
      </c>
      <c r="JE19" s="17">
        <v>23199</v>
      </c>
      <c r="JF19" s="14">
        <v>36427</v>
      </c>
      <c r="JG19" s="17">
        <v>30074</v>
      </c>
      <c r="JH19" s="14">
        <v>4324</v>
      </c>
      <c r="JI19" s="17">
        <v>9524</v>
      </c>
      <c r="JJ19" s="14">
        <v>2900</v>
      </c>
      <c r="JK19" s="17">
        <v>31850</v>
      </c>
      <c r="JL19" s="14">
        <v>45269</v>
      </c>
      <c r="JM19" s="17">
        <v>4306</v>
      </c>
      <c r="JN19" s="14">
        <v>7942</v>
      </c>
      <c r="JO19" s="17">
        <v>26139</v>
      </c>
      <c r="JP19" s="14">
        <v>4525</v>
      </c>
      <c r="JQ19" s="17">
        <v>6643</v>
      </c>
      <c r="JR19" s="14">
        <v>28948</v>
      </c>
      <c r="JS19" s="17">
        <v>26684</v>
      </c>
      <c r="JT19" s="14">
        <v>12729</v>
      </c>
      <c r="JU19" s="17">
        <v>47181</v>
      </c>
      <c r="JV19" s="14">
        <v>40067</v>
      </c>
      <c r="JW19" s="17">
        <v>39846</v>
      </c>
      <c r="JX19" s="14">
        <v>42252</v>
      </c>
      <c r="JY19" s="17">
        <v>46228</v>
      </c>
      <c r="JZ19" s="14">
        <v>46833</v>
      </c>
      <c r="KA19" s="17">
        <v>30218</v>
      </c>
      <c r="KB19" s="14">
        <v>41390</v>
      </c>
      <c r="KC19" s="17">
        <v>24306</v>
      </c>
      <c r="KD19" s="14">
        <v>21476</v>
      </c>
      <c r="KE19" s="17">
        <v>22779</v>
      </c>
      <c r="KF19" s="14">
        <v>13985</v>
      </c>
      <c r="KG19" s="17">
        <v>47720</v>
      </c>
      <c r="KH19" s="14">
        <v>44966</v>
      </c>
      <c r="KI19" s="17">
        <v>35962</v>
      </c>
      <c r="KJ19" s="14">
        <v>6147</v>
      </c>
      <c r="KK19" s="17">
        <v>31519</v>
      </c>
      <c r="KL19" s="14">
        <v>38210</v>
      </c>
      <c r="KM19" s="17">
        <v>9637</v>
      </c>
      <c r="KN19" s="14">
        <v>7089</v>
      </c>
      <c r="KO19" s="17">
        <v>46783</v>
      </c>
      <c r="KP19" s="14">
        <v>31688</v>
      </c>
      <c r="KQ19" s="17">
        <v>7374</v>
      </c>
      <c r="KR19" s="14">
        <v>30857</v>
      </c>
      <c r="KS19" s="17">
        <v>21341</v>
      </c>
      <c r="KT19" s="14">
        <v>45857</v>
      </c>
      <c r="KU19" s="17">
        <v>43232</v>
      </c>
      <c r="KV19" s="14">
        <v>47544</v>
      </c>
      <c r="KW19" s="17">
        <v>31500</v>
      </c>
      <c r="KX19" s="14">
        <v>31837</v>
      </c>
      <c r="KY19" s="17">
        <v>16184</v>
      </c>
      <c r="KZ19" s="14">
        <v>15666</v>
      </c>
      <c r="LA19" s="17">
        <v>10418</v>
      </c>
      <c r="LB19" s="14">
        <v>41431</v>
      </c>
      <c r="LC19" s="17">
        <v>17911</v>
      </c>
      <c r="LD19" s="14">
        <v>24819</v>
      </c>
      <c r="LE19" s="17">
        <v>26695</v>
      </c>
      <c r="LF19" s="14">
        <v>13016</v>
      </c>
      <c r="LG19" s="17">
        <v>46849</v>
      </c>
      <c r="LH19" s="14">
        <v>44593</v>
      </c>
      <c r="LI19" s="17">
        <v>22648</v>
      </c>
      <c r="LJ19" s="14">
        <v>22283</v>
      </c>
      <c r="LK19" s="17">
        <v>30706</v>
      </c>
      <c r="LL19" s="14">
        <v>32949</v>
      </c>
      <c r="LM19" s="17">
        <v>2983</v>
      </c>
      <c r="LN19" s="14">
        <v>5283</v>
      </c>
      <c r="LO19" s="17">
        <v>32151</v>
      </c>
      <c r="LP19" s="14">
        <v>8398</v>
      </c>
      <c r="LQ19" s="17">
        <v>24032</v>
      </c>
      <c r="LR19" s="14">
        <v>32368</v>
      </c>
      <c r="LS19" s="17">
        <v>31227</v>
      </c>
      <c r="LT19" s="14">
        <v>12193</v>
      </c>
      <c r="LU19" s="17">
        <v>19498</v>
      </c>
      <c r="LV19" s="14">
        <v>23846</v>
      </c>
      <c r="LW19" s="17">
        <v>40612</v>
      </c>
      <c r="LX19" s="14">
        <v>38662</v>
      </c>
      <c r="LY19" s="17">
        <v>9348</v>
      </c>
      <c r="LZ19" s="14">
        <v>34288</v>
      </c>
      <c r="MA19" s="17">
        <v>7745</v>
      </c>
      <c r="MB19" s="14">
        <v>27587</v>
      </c>
      <c r="MC19" s="17">
        <v>47810</v>
      </c>
      <c r="MD19" s="14">
        <v>8011</v>
      </c>
      <c r="ME19" s="17">
        <v>22356</v>
      </c>
      <c r="MF19" s="14">
        <v>37447</v>
      </c>
      <c r="MG19" s="17">
        <v>43562</v>
      </c>
      <c r="MH19" s="14">
        <v>5648</v>
      </c>
      <c r="MI19" s="17">
        <v>20799</v>
      </c>
      <c r="MJ19" s="14">
        <v>35914</v>
      </c>
      <c r="MK19" s="17">
        <v>31210</v>
      </c>
      <c r="ML19" s="14">
        <v>27267</v>
      </c>
      <c r="MM19" s="17">
        <v>39701</v>
      </c>
      <c r="MN19" s="14">
        <v>28095</v>
      </c>
      <c r="MO19" s="17">
        <v>16635</v>
      </c>
      <c r="MP19" s="14">
        <v>41689</v>
      </c>
      <c r="MQ19" s="17">
        <v>16970</v>
      </c>
      <c r="MR19" s="14">
        <v>36910</v>
      </c>
      <c r="MS19" s="17">
        <v>11421</v>
      </c>
      <c r="MT19" s="14">
        <v>32612</v>
      </c>
      <c r="MU19" s="17">
        <v>26153</v>
      </c>
      <c r="MV19" s="14">
        <v>5329</v>
      </c>
      <c r="MW19" s="17">
        <v>23329</v>
      </c>
      <c r="MX19" s="14">
        <v>14647</v>
      </c>
      <c r="MY19" s="17">
        <v>46485</v>
      </c>
      <c r="MZ19" s="14">
        <v>39729</v>
      </c>
      <c r="NA19" s="17">
        <v>29255</v>
      </c>
      <c r="NB19" s="14">
        <v>29531</v>
      </c>
      <c r="NC19" s="17">
        <v>38172</v>
      </c>
      <c r="ND19" s="14">
        <v>23426</v>
      </c>
      <c r="NE19" s="17">
        <v>36686</v>
      </c>
      <c r="NF19" s="14">
        <v>46490</v>
      </c>
      <c r="NG19" s="17">
        <v>16476</v>
      </c>
      <c r="NH19" s="14">
        <v>12343</v>
      </c>
      <c r="NI19" s="17">
        <v>44424</v>
      </c>
      <c r="NJ19" s="14">
        <v>44883</v>
      </c>
      <c r="NK19" s="17">
        <v>6104</v>
      </c>
      <c r="NL19" s="14">
        <v>49455</v>
      </c>
      <c r="NM19" s="17">
        <v>47655</v>
      </c>
      <c r="NN19" s="14">
        <v>38630</v>
      </c>
      <c r="NO19" s="17">
        <v>32891</v>
      </c>
      <c r="NP19" s="14">
        <v>8492</v>
      </c>
      <c r="NQ19" s="17">
        <v>39808</v>
      </c>
      <c r="NR19" s="14">
        <v>40064</v>
      </c>
      <c r="NS19" s="17">
        <v>31337</v>
      </c>
      <c r="NT19" s="14">
        <v>22323</v>
      </c>
      <c r="NU19" s="17">
        <v>37378</v>
      </c>
      <c r="NV19" s="14">
        <v>7399</v>
      </c>
      <c r="NW19" s="17">
        <v>30177</v>
      </c>
      <c r="NX19" s="14">
        <v>12545</v>
      </c>
      <c r="NY19" s="17">
        <v>21187</v>
      </c>
      <c r="NZ19" s="14">
        <v>27594</v>
      </c>
      <c r="OA19" s="17">
        <v>5561</v>
      </c>
      <c r="OB19" s="14">
        <v>40207</v>
      </c>
      <c r="OC19" s="17">
        <v>8126</v>
      </c>
      <c r="OD19" s="14">
        <v>45925</v>
      </c>
      <c r="OE19" s="17">
        <v>40086</v>
      </c>
      <c r="OF19" s="14">
        <v>25832</v>
      </c>
      <c r="OG19" s="17">
        <v>22457</v>
      </c>
      <c r="OH19" s="14">
        <v>33394</v>
      </c>
      <c r="OI19" s="17">
        <v>43270</v>
      </c>
      <c r="OJ19" s="14">
        <v>44264</v>
      </c>
      <c r="OK19" s="17">
        <v>5029</v>
      </c>
      <c r="OL19" s="14">
        <v>6933</v>
      </c>
      <c r="OM19" s="17">
        <v>15261</v>
      </c>
      <c r="ON19" s="14">
        <v>10104</v>
      </c>
      <c r="OO19" s="17">
        <v>39061</v>
      </c>
      <c r="OP19" s="14">
        <v>42689</v>
      </c>
      <c r="OQ19" s="17">
        <v>1012</v>
      </c>
      <c r="OR19" s="14">
        <v>10615</v>
      </c>
      <c r="OS19" s="17">
        <v>44311</v>
      </c>
      <c r="OT19" s="14">
        <v>10779</v>
      </c>
      <c r="OU19" s="17">
        <v>30686</v>
      </c>
      <c r="OV19" s="14">
        <v>35816</v>
      </c>
      <c r="OW19" s="17">
        <v>20103</v>
      </c>
      <c r="OX19" s="14">
        <v>26557</v>
      </c>
      <c r="OY19" s="17">
        <v>41342</v>
      </c>
      <c r="OZ19" s="14">
        <v>38875</v>
      </c>
      <c r="PA19" s="17">
        <v>30305</v>
      </c>
      <c r="PB19" s="14">
        <v>13823</v>
      </c>
      <c r="PC19" s="17">
        <v>14478</v>
      </c>
      <c r="PD19" s="14">
        <v>45663</v>
      </c>
      <c r="PE19" s="17">
        <v>21748</v>
      </c>
      <c r="PF19" s="14">
        <v>20643</v>
      </c>
      <c r="PG19" s="17">
        <v>38373</v>
      </c>
      <c r="PH19" s="14">
        <v>45535</v>
      </c>
      <c r="PI19" s="17">
        <v>20958</v>
      </c>
      <c r="PJ19" s="14">
        <v>29490</v>
      </c>
      <c r="PK19" s="17">
        <v>48041</v>
      </c>
      <c r="PL19" s="14">
        <v>23561</v>
      </c>
      <c r="PM19" s="17">
        <v>6851</v>
      </c>
      <c r="PN19" s="14">
        <v>39189</v>
      </c>
      <c r="PO19" s="17">
        <v>1532</v>
      </c>
      <c r="PP19" s="14">
        <v>41074</v>
      </c>
      <c r="PQ19" s="17">
        <v>34451</v>
      </c>
      <c r="PR19" s="14">
        <v>27489</v>
      </c>
      <c r="PS19" s="17">
        <v>9359</v>
      </c>
      <c r="PT19" s="14">
        <v>20279</v>
      </c>
      <c r="PU19" s="17">
        <v>5090</v>
      </c>
      <c r="PV19" s="14">
        <v>25197</v>
      </c>
      <c r="PW19" s="17">
        <v>36971</v>
      </c>
      <c r="PX19" s="14">
        <v>4481</v>
      </c>
      <c r="PY19" s="17">
        <v>1055</v>
      </c>
      <c r="PZ19" s="14">
        <v>47095</v>
      </c>
      <c r="QA19" s="17">
        <v>37702</v>
      </c>
      <c r="QB19" s="14">
        <v>24543</v>
      </c>
      <c r="QC19" s="17">
        <v>8189</v>
      </c>
      <c r="QD19" s="14">
        <v>19494</v>
      </c>
      <c r="QE19" s="17">
        <v>3043</v>
      </c>
      <c r="QF19" s="14">
        <v>16416</v>
      </c>
      <c r="QG19" s="17">
        <v>29292</v>
      </c>
      <c r="QH19" s="14">
        <v>47020</v>
      </c>
      <c r="QI19" s="17">
        <v>39676</v>
      </c>
      <c r="QJ19" s="14">
        <v>26838</v>
      </c>
      <c r="QK19" s="17">
        <v>41974</v>
      </c>
      <c r="QL19" s="14">
        <v>21848</v>
      </c>
      <c r="QM19" s="17">
        <v>47646</v>
      </c>
      <c r="QN19" s="14">
        <v>26086</v>
      </c>
      <c r="QO19" s="17">
        <v>27609</v>
      </c>
      <c r="QP19" s="14">
        <v>26006</v>
      </c>
      <c r="QQ19" s="17">
        <v>29520</v>
      </c>
      <c r="QR19" s="14">
        <v>36724</v>
      </c>
      <c r="QS19" s="17">
        <v>14842</v>
      </c>
      <c r="QT19" s="14">
        <v>44416</v>
      </c>
      <c r="QU19" s="17">
        <v>12364</v>
      </c>
      <c r="QV19" s="14">
        <v>32121</v>
      </c>
      <c r="QW19" s="17">
        <v>10114</v>
      </c>
      <c r="QX19" s="14">
        <v>13335</v>
      </c>
      <c r="QY19" s="17">
        <v>37400</v>
      </c>
      <c r="QZ19" s="14">
        <v>26204</v>
      </c>
      <c r="RA19" s="17">
        <v>24611</v>
      </c>
      <c r="RB19" s="14">
        <v>28343</v>
      </c>
      <c r="RC19" s="17">
        <v>11110</v>
      </c>
      <c r="RD19" s="14">
        <v>19905</v>
      </c>
      <c r="RE19" s="17">
        <v>44913</v>
      </c>
      <c r="RF19" s="14">
        <v>9227</v>
      </c>
      <c r="RG19" s="17">
        <v>9800</v>
      </c>
      <c r="RH19" s="14">
        <v>1760</v>
      </c>
      <c r="RI19" s="17">
        <v>5701</v>
      </c>
      <c r="RJ19" s="14">
        <v>43492</v>
      </c>
      <c r="RK19" s="17">
        <v>2029</v>
      </c>
      <c r="RL19" s="14">
        <v>10436</v>
      </c>
      <c r="RM19" s="17">
        <v>48273</v>
      </c>
      <c r="RN19" s="14">
        <v>32896</v>
      </c>
      <c r="RO19" s="17">
        <v>44117</v>
      </c>
      <c r="RP19" s="14">
        <v>29621</v>
      </c>
      <c r="RQ19" s="17">
        <v>9898</v>
      </c>
      <c r="RR19" s="14">
        <v>6548</v>
      </c>
      <c r="RS19" s="17">
        <v>9992</v>
      </c>
      <c r="RT19" s="14">
        <v>43090</v>
      </c>
      <c r="RU19" s="17">
        <v>28253</v>
      </c>
      <c r="RV19" s="14">
        <v>30886</v>
      </c>
      <c r="RW19" s="17">
        <v>46573</v>
      </c>
      <c r="RX19" s="14">
        <v>40611</v>
      </c>
      <c r="RY19" s="17">
        <v>28898</v>
      </c>
      <c r="RZ19" s="14">
        <v>41845</v>
      </c>
      <c r="SA19" s="17">
        <v>12783</v>
      </c>
      <c r="SB19" s="14">
        <v>30779</v>
      </c>
      <c r="SC19" s="17">
        <v>34385</v>
      </c>
      <c r="SD19" s="14">
        <v>28795</v>
      </c>
      <c r="SE19" s="17">
        <v>37179</v>
      </c>
      <c r="SF19" s="14">
        <v>30494</v>
      </c>
      <c r="SG19" s="17">
        <v>26212</v>
      </c>
      <c r="SH19" s="14">
        <v>24285</v>
      </c>
      <c r="SI19" s="17">
        <v>15794</v>
      </c>
      <c r="SJ19" s="14">
        <v>13176</v>
      </c>
      <c r="SK19" s="17">
        <v>28837</v>
      </c>
      <c r="SL19" s="14">
        <v>40621</v>
      </c>
      <c r="SM19" s="17">
        <v>1486</v>
      </c>
      <c r="SN19" s="14">
        <v>38875</v>
      </c>
      <c r="SO19" s="17">
        <v>33647</v>
      </c>
      <c r="SP19" s="14">
        <v>48901</v>
      </c>
      <c r="SQ19" s="17">
        <v>16515</v>
      </c>
      <c r="SR19" s="14">
        <v>47670</v>
      </c>
      <c r="SS19" s="17">
        <v>33881</v>
      </c>
      <c r="ST19" s="14">
        <v>18645</v>
      </c>
      <c r="SU19" s="17">
        <v>27924</v>
      </c>
      <c r="SV19" s="14">
        <v>36793</v>
      </c>
      <c r="SW19" s="17">
        <v>38771</v>
      </c>
      <c r="SX19" s="14">
        <v>25049</v>
      </c>
      <c r="SY19" s="17">
        <v>3192</v>
      </c>
      <c r="SZ19" s="14">
        <v>3481</v>
      </c>
      <c r="TA19" s="17">
        <v>38234</v>
      </c>
      <c r="TB19" s="14">
        <v>32671</v>
      </c>
      <c r="TC19" s="17">
        <v>47195</v>
      </c>
      <c r="TD19" s="14">
        <v>25155</v>
      </c>
      <c r="TE19" s="17">
        <v>8416</v>
      </c>
      <c r="TF19" s="14">
        <v>39028</v>
      </c>
      <c r="TG19" s="17">
        <v>32557</v>
      </c>
      <c r="TH19" s="14">
        <v>46252</v>
      </c>
      <c r="TI19" s="17">
        <v>6247</v>
      </c>
      <c r="TJ19" s="14">
        <v>10311</v>
      </c>
      <c r="TK19" s="17">
        <v>48853</v>
      </c>
      <c r="TL19" s="14">
        <v>48926</v>
      </c>
      <c r="TM19" s="17">
        <v>35498</v>
      </c>
      <c r="TN19" s="14">
        <v>19312</v>
      </c>
      <c r="TO19" s="17">
        <v>31470</v>
      </c>
      <c r="TP19" s="14">
        <v>34878</v>
      </c>
      <c r="TQ19" s="17">
        <v>6127</v>
      </c>
      <c r="TR19" s="14">
        <v>35298</v>
      </c>
      <c r="TS19" s="17">
        <v>40981</v>
      </c>
      <c r="TT19" s="14">
        <v>6796</v>
      </c>
      <c r="TU19" s="17">
        <v>17071</v>
      </c>
      <c r="TV19" s="14">
        <v>31962</v>
      </c>
      <c r="TW19" s="17">
        <v>42331</v>
      </c>
      <c r="TX19" s="14">
        <v>49607</v>
      </c>
      <c r="TY19" s="17">
        <v>44498</v>
      </c>
      <c r="TZ19" s="14">
        <v>44825</v>
      </c>
      <c r="UA19" s="17">
        <v>6117</v>
      </c>
      <c r="UB19" s="14">
        <v>45831</v>
      </c>
      <c r="UC19" s="17">
        <v>42529</v>
      </c>
      <c r="UD19" s="14">
        <v>36336</v>
      </c>
      <c r="UE19" s="17">
        <v>38986</v>
      </c>
      <c r="UF19" s="14">
        <v>21479</v>
      </c>
      <c r="UG19" s="17">
        <v>41176</v>
      </c>
      <c r="UH19" s="14">
        <v>4458</v>
      </c>
      <c r="UI19" s="17">
        <v>23514</v>
      </c>
      <c r="UJ19" s="14">
        <v>36063</v>
      </c>
      <c r="UK19" s="17">
        <v>1706</v>
      </c>
      <c r="UL19" s="14">
        <v>31727</v>
      </c>
      <c r="UM19" s="17">
        <v>30755</v>
      </c>
      <c r="UN19" s="14">
        <v>34597</v>
      </c>
      <c r="UO19" s="17">
        <v>31751</v>
      </c>
      <c r="UP19" s="14">
        <v>38615</v>
      </c>
      <c r="UQ19" s="17">
        <v>49091</v>
      </c>
      <c r="UR19" s="14">
        <v>22726</v>
      </c>
      <c r="US19" s="17">
        <v>28591</v>
      </c>
      <c r="UT19" s="14">
        <v>24128</v>
      </c>
      <c r="UU19" s="17">
        <v>20308</v>
      </c>
      <c r="UV19" s="14">
        <v>19953</v>
      </c>
      <c r="UW19" s="17">
        <v>11977</v>
      </c>
      <c r="UX19" s="14">
        <v>3315</v>
      </c>
      <c r="UY19" s="17">
        <v>46550</v>
      </c>
      <c r="UZ19" s="14">
        <v>40166</v>
      </c>
      <c r="VA19" s="17">
        <v>20927</v>
      </c>
      <c r="VB19" s="14">
        <v>48642</v>
      </c>
      <c r="VC19" s="17">
        <v>37943</v>
      </c>
      <c r="VD19" s="14">
        <v>18068</v>
      </c>
      <c r="VE19" s="17">
        <v>5025</v>
      </c>
      <c r="VF19" s="14">
        <v>42241</v>
      </c>
      <c r="VG19" s="17">
        <v>32009</v>
      </c>
      <c r="VH19" s="14">
        <v>38889</v>
      </c>
      <c r="VI19" s="17">
        <v>12080</v>
      </c>
      <c r="VJ19" s="14">
        <v>38542</v>
      </c>
      <c r="VK19" s="17">
        <v>4382</v>
      </c>
      <c r="VL19" s="14">
        <v>44012</v>
      </c>
      <c r="VM19" s="17">
        <v>20120</v>
      </c>
      <c r="VN19" s="14">
        <v>49324</v>
      </c>
      <c r="VO19" s="17">
        <v>41915</v>
      </c>
      <c r="VP19" s="14">
        <v>2789</v>
      </c>
      <c r="VQ19" s="17">
        <v>19796</v>
      </c>
      <c r="VR19" s="14">
        <v>32769</v>
      </c>
      <c r="VS19" s="17">
        <v>6407</v>
      </c>
      <c r="VT19" s="14">
        <v>9311</v>
      </c>
      <c r="VU19" s="17">
        <v>34134</v>
      </c>
      <c r="VV19" s="14">
        <v>6037</v>
      </c>
      <c r="VW19" s="17">
        <v>19209</v>
      </c>
      <c r="VX19" s="14">
        <v>17518</v>
      </c>
      <c r="VY19" s="17">
        <v>9686</v>
      </c>
      <c r="VZ19" s="14">
        <v>41356</v>
      </c>
      <c r="WA19" s="17">
        <v>19413</v>
      </c>
      <c r="WB19" s="14">
        <v>19036</v>
      </c>
      <c r="WC19" s="17">
        <v>17839</v>
      </c>
      <c r="WD19" s="14">
        <v>1930</v>
      </c>
      <c r="WE19" s="17">
        <v>49590</v>
      </c>
      <c r="WF19" s="14">
        <v>8310</v>
      </c>
      <c r="WG19" s="17">
        <v>40572</v>
      </c>
      <c r="WH19" s="14">
        <v>12443</v>
      </c>
      <c r="WI19" s="17">
        <v>39782</v>
      </c>
      <c r="WJ19" s="14">
        <v>49428</v>
      </c>
      <c r="WK19" s="17">
        <v>10904</v>
      </c>
      <c r="WL19" s="14">
        <v>44198</v>
      </c>
      <c r="WM19" s="17">
        <v>30271</v>
      </c>
      <c r="WN19" s="14">
        <v>25233</v>
      </c>
      <c r="WO19" s="17">
        <v>12494</v>
      </c>
      <c r="WP19" s="14">
        <v>18121</v>
      </c>
      <c r="WQ19" s="17">
        <v>46925</v>
      </c>
      <c r="WR19" s="14">
        <v>16479</v>
      </c>
      <c r="WS19" s="17">
        <v>32779</v>
      </c>
      <c r="WT19" s="14">
        <v>12849</v>
      </c>
      <c r="WU19" s="17">
        <v>35562</v>
      </c>
      <c r="WV19" s="14">
        <v>3168</v>
      </c>
      <c r="WW19" s="17">
        <v>23468</v>
      </c>
      <c r="WX19" s="14">
        <v>6531</v>
      </c>
      <c r="WY19" s="17">
        <v>10507</v>
      </c>
      <c r="WZ19" s="14">
        <v>40029</v>
      </c>
      <c r="XA19" s="17">
        <v>11102</v>
      </c>
      <c r="XB19" s="14">
        <v>33502</v>
      </c>
      <c r="XC19" s="17">
        <v>28062</v>
      </c>
      <c r="XD19" s="14">
        <v>26111</v>
      </c>
      <c r="XE19" s="17">
        <v>16594</v>
      </c>
      <c r="XF19" s="14">
        <v>44297</v>
      </c>
      <c r="XG19" s="17">
        <v>29847</v>
      </c>
      <c r="XH19" s="14">
        <v>48579</v>
      </c>
      <c r="XI19" s="17">
        <v>42784</v>
      </c>
      <c r="XJ19" s="14">
        <v>11963</v>
      </c>
      <c r="XK19" s="17">
        <v>14818</v>
      </c>
      <c r="XL19" s="14">
        <v>38863</v>
      </c>
      <c r="XM19" s="17">
        <v>49127</v>
      </c>
      <c r="XN19" s="14">
        <v>23614</v>
      </c>
      <c r="XO19" s="17">
        <v>4560</v>
      </c>
      <c r="XP19" s="14">
        <v>43091</v>
      </c>
      <c r="XQ19" s="17">
        <v>18327</v>
      </c>
      <c r="XR19" s="14">
        <v>8601</v>
      </c>
      <c r="XS19" s="17">
        <v>4442</v>
      </c>
      <c r="XT19" s="14">
        <v>11983</v>
      </c>
      <c r="XU19" s="17">
        <v>31409</v>
      </c>
      <c r="XV19" s="14">
        <v>27132</v>
      </c>
      <c r="XW19" s="17">
        <v>32210</v>
      </c>
      <c r="XX19" s="14">
        <v>20750</v>
      </c>
      <c r="XY19" s="17">
        <v>32212</v>
      </c>
      <c r="XZ19" s="14">
        <v>49899</v>
      </c>
      <c r="YA19" s="17">
        <v>35899</v>
      </c>
      <c r="YB19" s="14">
        <v>16313</v>
      </c>
      <c r="YC19" s="17">
        <v>25890</v>
      </c>
      <c r="YD19" s="14">
        <v>45794</v>
      </c>
      <c r="YE19" s="17">
        <v>47242</v>
      </c>
      <c r="YF19" s="14">
        <v>26563</v>
      </c>
      <c r="YG19" s="17">
        <v>32102</v>
      </c>
      <c r="YH19" s="14">
        <v>18211</v>
      </c>
      <c r="YI19" s="17">
        <v>10512</v>
      </c>
      <c r="YJ19" s="14">
        <v>35763</v>
      </c>
      <c r="YK19" s="17">
        <v>29490</v>
      </c>
      <c r="YL19" s="14">
        <v>1777</v>
      </c>
      <c r="YM19" s="17">
        <v>19926</v>
      </c>
      <c r="YN19" s="14">
        <v>30413</v>
      </c>
      <c r="YO19" s="17">
        <v>26035</v>
      </c>
      <c r="YP19" s="14">
        <v>45465</v>
      </c>
      <c r="YQ19" s="17">
        <v>21688</v>
      </c>
      <c r="YR19" s="14">
        <v>35750</v>
      </c>
      <c r="YS19" s="17">
        <v>45752</v>
      </c>
      <c r="YT19" s="14">
        <v>3688</v>
      </c>
      <c r="YU19" s="17">
        <v>7380</v>
      </c>
      <c r="YV19" s="14">
        <v>35818</v>
      </c>
      <c r="YW19" s="17">
        <v>42774</v>
      </c>
      <c r="YX19" s="14">
        <v>24188</v>
      </c>
      <c r="YY19" s="17">
        <v>29297</v>
      </c>
      <c r="YZ19" s="14">
        <v>41008</v>
      </c>
      <c r="ZA19" s="17">
        <v>43733</v>
      </c>
      <c r="ZB19" s="14">
        <v>18864</v>
      </c>
      <c r="ZC19" s="17">
        <v>22952</v>
      </c>
      <c r="ZD19" s="14">
        <v>18716</v>
      </c>
      <c r="ZE19" s="17">
        <v>18503</v>
      </c>
      <c r="ZF19" s="14">
        <v>7440</v>
      </c>
      <c r="ZG19" s="17">
        <v>17734</v>
      </c>
      <c r="ZH19" s="14">
        <v>43883</v>
      </c>
      <c r="ZI19" s="17">
        <v>39284</v>
      </c>
      <c r="ZJ19" s="14">
        <v>26634</v>
      </c>
      <c r="ZK19" s="17">
        <v>31219</v>
      </c>
      <c r="ZL19" s="14">
        <v>45255</v>
      </c>
      <c r="ZM19" s="17">
        <v>16846</v>
      </c>
      <c r="ZN19" s="14">
        <v>49123</v>
      </c>
      <c r="ZO19" s="17">
        <v>45032</v>
      </c>
      <c r="ZP19" s="14">
        <v>39582</v>
      </c>
      <c r="ZQ19" s="17">
        <v>13774</v>
      </c>
      <c r="ZR19" s="14">
        <v>35075</v>
      </c>
      <c r="ZS19" s="17">
        <v>23112</v>
      </c>
      <c r="ZT19" s="14">
        <v>45414</v>
      </c>
      <c r="ZU19" s="17">
        <v>46238</v>
      </c>
      <c r="ZV19" s="14">
        <v>12791</v>
      </c>
      <c r="ZW19" s="17">
        <v>21530</v>
      </c>
      <c r="ZX19" s="14">
        <v>36888</v>
      </c>
      <c r="ZY19" s="17">
        <v>1693</v>
      </c>
      <c r="ZZ19" s="14">
        <v>45092</v>
      </c>
      <c r="AAA19" s="17">
        <v>1555</v>
      </c>
      <c r="AAB19" s="14">
        <v>5453</v>
      </c>
      <c r="AAC19" s="17">
        <v>1783</v>
      </c>
      <c r="AAD19" s="14">
        <v>27951</v>
      </c>
      <c r="AAE19" s="17">
        <v>7402</v>
      </c>
      <c r="AAF19" s="14">
        <v>35423</v>
      </c>
      <c r="AAG19" s="17">
        <v>7809</v>
      </c>
      <c r="AAH19" s="14">
        <v>45924</v>
      </c>
      <c r="AAI19" s="17">
        <v>30225</v>
      </c>
      <c r="AAJ19" s="14">
        <v>24036</v>
      </c>
      <c r="AAK19" s="17">
        <v>15379</v>
      </c>
      <c r="AAL19" s="14">
        <v>48530</v>
      </c>
      <c r="AAM19" s="17">
        <v>19566</v>
      </c>
      <c r="AAN19" s="14">
        <v>17508</v>
      </c>
      <c r="AAO19" s="17">
        <v>13653</v>
      </c>
      <c r="AAP19" s="14">
        <v>3230</v>
      </c>
      <c r="AAQ19" s="17">
        <v>2553</v>
      </c>
      <c r="AAR19" s="14">
        <v>41592</v>
      </c>
      <c r="AAS19" s="17">
        <v>7025</v>
      </c>
      <c r="AAT19" s="14">
        <v>4727</v>
      </c>
      <c r="AAU19" s="17">
        <v>39937</v>
      </c>
      <c r="AAV19" s="14">
        <v>44031</v>
      </c>
      <c r="AAW19" s="17">
        <v>15209</v>
      </c>
      <c r="AAX19" s="14">
        <v>40281</v>
      </c>
      <c r="AAY19" s="17">
        <v>42817</v>
      </c>
      <c r="AAZ19" s="14">
        <v>8981</v>
      </c>
      <c r="ABA19" s="17">
        <v>47404</v>
      </c>
      <c r="ABB19" s="14">
        <v>8862</v>
      </c>
      <c r="ABC19" s="17">
        <v>6661</v>
      </c>
      <c r="ABD19" s="14">
        <v>40628</v>
      </c>
      <c r="ABE19" s="17">
        <v>9513</v>
      </c>
      <c r="ABF19" s="14">
        <v>25638</v>
      </c>
      <c r="ABG19" s="17">
        <v>44017</v>
      </c>
      <c r="ABH19" s="14">
        <v>43461</v>
      </c>
      <c r="ABI19" s="17">
        <v>38097</v>
      </c>
      <c r="ABJ19" s="14">
        <v>13108</v>
      </c>
      <c r="ABK19" s="17">
        <v>8264</v>
      </c>
      <c r="ABL19" s="14">
        <v>46590</v>
      </c>
      <c r="ABM19" s="17">
        <v>13075</v>
      </c>
      <c r="ABN19" s="14">
        <v>17602</v>
      </c>
      <c r="ABO19" s="17">
        <v>20304</v>
      </c>
      <c r="ABP19" s="14">
        <v>31602</v>
      </c>
      <c r="ABQ19" s="17">
        <v>44285</v>
      </c>
      <c r="ABR19" s="14">
        <v>5962</v>
      </c>
      <c r="ABS19" s="17">
        <v>42863</v>
      </c>
      <c r="ABT19" s="14">
        <v>30716</v>
      </c>
      <c r="ABU19" s="17">
        <v>19113</v>
      </c>
      <c r="ABV19" s="14">
        <v>28982</v>
      </c>
      <c r="ABW19" s="17">
        <v>46365</v>
      </c>
      <c r="ABX19" s="14">
        <v>44750</v>
      </c>
      <c r="ABY19" s="17">
        <v>22194</v>
      </c>
      <c r="ABZ19" s="14">
        <v>17864</v>
      </c>
      <c r="ACA19" s="17">
        <v>11614</v>
      </c>
      <c r="ACB19" s="14">
        <v>5849</v>
      </c>
      <c r="ACC19" s="17">
        <v>19172</v>
      </c>
      <c r="ACD19" s="14">
        <v>5088</v>
      </c>
      <c r="ACE19" s="17">
        <v>26087</v>
      </c>
      <c r="ACF19" s="14">
        <v>26466</v>
      </c>
      <c r="ACG19" s="17">
        <v>22800</v>
      </c>
      <c r="ACH19" s="14">
        <v>4936</v>
      </c>
      <c r="ACI19" s="17">
        <v>17923</v>
      </c>
      <c r="ACJ19" s="14">
        <v>18345</v>
      </c>
      <c r="ACK19" s="17">
        <v>12660</v>
      </c>
      <c r="ACL19" s="14">
        <v>29873</v>
      </c>
      <c r="ACM19" s="17">
        <v>5548</v>
      </c>
      <c r="ACN19" s="14">
        <v>33225</v>
      </c>
      <c r="ACO19" s="17">
        <v>14151</v>
      </c>
      <c r="ACP19" s="14">
        <v>40996</v>
      </c>
      <c r="ACQ19" s="17">
        <v>26731</v>
      </c>
      <c r="ACR19" s="14">
        <v>12694</v>
      </c>
      <c r="ACS19" s="17">
        <v>43302</v>
      </c>
      <c r="ACT19" s="14">
        <v>33247</v>
      </c>
      <c r="ACU19" s="17">
        <v>8106</v>
      </c>
      <c r="ACV19" s="14">
        <v>10428</v>
      </c>
      <c r="ACW19" s="17">
        <v>36430</v>
      </c>
      <c r="ACX19" s="14">
        <v>29262</v>
      </c>
      <c r="ACY19" s="17">
        <v>15312</v>
      </c>
      <c r="ACZ19" s="14">
        <v>41236</v>
      </c>
      <c r="ADA19" s="17">
        <v>43161</v>
      </c>
      <c r="ADB19" s="14">
        <v>7963</v>
      </c>
      <c r="ADC19" s="17">
        <v>29939</v>
      </c>
      <c r="ADD19" s="14">
        <v>47884</v>
      </c>
      <c r="ADE19" s="17">
        <v>17973</v>
      </c>
      <c r="ADF19" s="14">
        <v>7769</v>
      </c>
      <c r="ADG19" s="17">
        <v>3284</v>
      </c>
      <c r="ADH19" s="14">
        <v>5778</v>
      </c>
      <c r="ADI19" s="17">
        <v>5614</v>
      </c>
      <c r="ADJ19" s="14">
        <v>38443</v>
      </c>
      <c r="ADK19" s="17">
        <v>48680</v>
      </c>
      <c r="ADL19" s="14">
        <v>17423</v>
      </c>
      <c r="ADM19" s="17">
        <v>30221</v>
      </c>
      <c r="ADN19" s="14">
        <v>2229</v>
      </c>
      <c r="ADO19" s="17">
        <v>33617</v>
      </c>
      <c r="ADP19" s="14">
        <v>10755</v>
      </c>
      <c r="ADQ19" s="17">
        <v>43786</v>
      </c>
      <c r="ADR19" s="14">
        <v>42965</v>
      </c>
      <c r="ADS19" s="17">
        <v>1056</v>
      </c>
      <c r="ADT19" s="14">
        <v>3479</v>
      </c>
      <c r="ADU19" s="17">
        <v>44555</v>
      </c>
      <c r="ADV19" s="14">
        <v>26590</v>
      </c>
      <c r="ADW19" s="17">
        <v>18461</v>
      </c>
      <c r="ADX19" s="14">
        <v>10935</v>
      </c>
      <c r="ADY19" s="17">
        <v>46878</v>
      </c>
      <c r="ADZ19" s="14">
        <v>22615</v>
      </c>
      <c r="AEA19" s="17">
        <v>26646</v>
      </c>
      <c r="AEB19" s="14">
        <v>38659</v>
      </c>
      <c r="AEC19" s="17">
        <v>1242</v>
      </c>
      <c r="AED19" s="14">
        <v>34776</v>
      </c>
      <c r="AEE19" s="17">
        <v>47373</v>
      </c>
      <c r="AEF19" s="14">
        <v>33157</v>
      </c>
      <c r="AEG19" s="17">
        <v>32335</v>
      </c>
      <c r="AEH19" s="14">
        <v>29577</v>
      </c>
      <c r="AEI19" s="17">
        <v>27470</v>
      </c>
      <c r="AEJ19" s="14">
        <v>48694</v>
      </c>
      <c r="AEK19" s="17">
        <v>5594</v>
      </c>
      <c r="AEL19" s="14">
        <v>36397</v>
      </c>
      <c r="AEM19" s="17">
        <v>15801</v>
      </c>
      <c r="AEN19" s="14">
        <v>1216</v>
      </c>
      <c r="AEO19" s="17">
        <v>26193</v>
      </c>
      <c r="AEP19" s="14">
        <v>46171</v>
      </c>
      <c r="AEQ19" s="17">
        <v>32592</v>
      </c>
      <c r="AER19" s="14">
        <v>8943</v>
      </c>
      <c r="AES19" s="17">
        <v>38174</v>
      </c>
      <c r="AET19" s="14">
        <v>36081</v>
      </c>
      <c r="AEU19" s="17">
        <v>24522</v>
      </c>
      <c r="AEV19" s="14">
        <v>22852</v>
      </c>
      <c r="AEW19" s="17">
        <v>45684</v>
      </c>
      <c r="AEX19" s="14">
        <v>20846</v>
      </c>
      <c r="AEY19" s="17">
        <v>27254</v>
      </c>
      <c r="AEZ19" s="14">
        <v>4617</v>
      </c>
      <c r="AFA19" s="17">
        <v>42436</v>
      </c>
      <c r="AFB19" s="14">
        <v>43406</v>
      </c>
      <c r="AFC19" s="17">
        <v>6941</v>
      </c>
      <c r="AFD19" s="14">
        <v>24943</v>
      </c>
      <c r="AFE19" s="17">
        <v>36037</v>
      </c>
      <c r="AFF19" s="14">
        <v>23286</v>
      </c>
      <c r="AFG19" s="17">
        <v>6272</v>
      </c>
      <c r="AFH19" s="14">
        <v>31122</v>
      </c>
      <c r="AFI19" s="17">
        <v>20002</v>
      </c>
      <c r="AFJ19" s="14">
        <v>43453</v>
      </c>
      <c r="AFK19" s="17">
        <v>14311</v>
      </c>
      <c r="AFL19" s="14">
        <v>12574</v>
      </c>
      <c r="AFM19" s="17">
        <v>37338</v>
      </c>
      <c r="AFN19" s="14">
        <v>3577</v>
      </c>
      <c r="AFO19" s="17">
        <v>26176</v>
      </c>
      <c r="AFP19" s="14">
        <v>44301</v>
      </c>
      <c r="AFQ19" s="17">
        <v>13517</v>
      </c>
      <c r="AFR19" s="14">
        <v>20586</v>
      </c>
      <c r="AFS19" s="17">
        <v>46605</v>
      </c>
      <c r="AFT19" s="14">
        <v>26565</v>
      </c>
      <c r="AFU19" s="17">
        <v>7997</v>
      </c>
      <c r="AFV19" s="14">
        <v>42328</v>
      </c>
      <c r="AFW19" s="17">
        <v>46143</v>
      </c>
      <c r="AFX19" s="14">
        <v>24544</v>
      </c>
      <c r="AFY19" s="17">
        <v>32883</v>
      </c>
      <c r="AFZ19" s="14">
        <v>6561</v>
      </c>
      <c r="AGA19" s="17">
        <v>42470</v>
      </c>
      <c r="AGB19" s="14">
        <v>29703</v>
      </c>
      <c r="AGC19" s="17">
        <v>49190</v>
      </c>
      <c r="AGD19" s="14">
        <v>13416</v>
      </c>
      <c r="AGE19" s="17">
        <v>10171</v>
      </c>
      <c r="AGF19" s="14">
        <v>3339</v>
      </c>
      <c r="AGG19" s="17">
        <v>13654</v>
      </c>
      <c r="AGH19" s="14">
        <v>2662</v>
      </c>
      <c r="AGI19" s="17">
        <v>48168</v>
      </c>
      <c r="AGJ19" s="14">
        <v>39859</v>
      </c>
      <c r="AGK19" s="17">
        <v>16629</v>
      </c>
      <c r="AGL19" s="14">
        <v>33062</v>
      </c>
      <c r="AGM19" s="17">
        <v>26478</v>
      </c>
      <c r="AGN19" s="14">
        <v>5128</v>
      </c>
      <c r="AGO19" s="17">
        <v>36425</v>
      </c>
      <c r="AGP19" s="14">
        <v>43166</v>
      </c>
      <c r="AGQ19" s="17">
        <v>21167</v>
      </c>
      <c r="AGR19" s="14">
        <v>33747</v>
      </c>
      <c r="AGS19" s="17">
        <v>35992</v>
      </c>
      <c r="AGT19" s="14">
        <v>30445</v>
      </c>
      <c r="AGU19" s="17">
        <v>2075</v>
      </c>
      <c r="AGV19" s="14">
        <v>3427</v>
      </c>
      <c r="AGW19" s="17">
        <v>23235</v>
      </c>
      <c r="AGX19" s="14">
        <v>4673</v>
      </c>
      <c r="AGY19" s="17">
        <v>23132</v>
      </c>
      <c r="AGZ19" s="14">
        <v>48252</v>
      </c>
      <c r="AHA19" s="17">
        <v>3805</v>
      </c>
      <c r="AHB19" s="14">
        <v>27575</v>
      </c>
      <c r="AHC19" s="17">
        <v>8745</v>
      </c>
      <c r="AHD19" s="14">
        <v>14872</v>
      </c>
      <c r="AHE19" s="17">
        <v>43850</v>
      </c>
      <c r="AHF19" s="14">
        <v>44733</v>
      </c>
      <c r="AHG19" s="17">
        <v>35283</v>
      </c>
      <c r="AHH19" s="14">
        <v>31039</v>
      </c>
      <c r="AHI19" s="17">
        <v>45438</v>
      </c>
      <c r="AHJ19" s="14">
        <v>36164</v>
      </c>
      <c r="AHK19" s="17">
        <v>10761</v>
      </c>
      <c r="AHL19" s="14">
        <v>49565</v>
      </c>
      <c r="AHM19" s="17">
        <v>38968</v>
      </c>
      <c r="AHN19" s="14">
        <v>16268</v>
      </c>
      <c r="AHO19" s="17">
        <v>5720</v>
      </c>
      <c r="AHP19" s="14">
        <v>3416</v>
      </c>
      <c r="AHQ19" s="17">
        <v>49199</v>
      </c>
      <c r="AHR19" s="14">
        <v>10279</v>
      </c>
      <c r="AHS19" s="17">
        <v>33040</v>
      </c>
      <c r="AHT19" s="14">
        <v>43849</v>
      </c>
      <c r="AHU19" s="17">
        <v>2249</v>
      </c>
      <c r="AHV19" s="14">
        <v>31881</v>
      </c>
      <c r="AHW19" s="17">
        <v>41525</v>
      </c>
      <c r="AHX19" s="14">
        <v>4001</v>
      </c>
      <c r="AHY19" s="17">
        <v>16904</v>
      </c>
      <c r="AHZ19" s="14">
        <v>46960</v>
      </c>
      <c r="AIA19" s="17">
        <v>43518</v>
      </c>
      <c r="AIB19" s="14">
        <v>9554</v>
      </c>
      <c r="AIC19" s="17">
        <v>1941</v>
      </c>
      <c r="AID19" s="14">
        <v>12288</v>
      </c>
      <c r="AIE19" s="17">
        <v>42462</v>
      </c>
      <c r="AIF19" s="14">
        <v>4274</v>
      </c>
      <c r="AIG19" s="17">
        <v>21141</v>
      </c>
      <c r="AIH19" s="14">
        <v>7376</v>
      </c>
      <c r="AII19" s="17">
        <v>30896</v>
      </c>
      <c r="AIJ19" s="14">
        <v>41057</v>
      </c>
      <c r="AIK19" s="17">
        <v>12186</v>
      </c>
      <c r="AIL19" s="14">
        <v>39734</v>
      </c>
      <c r="AIM19" s="17">
        <v>5191</v>
      </c>
      <c r="AIN19" s="14">
        <v>7968</v>
      </c>
      <c r="AIO19" s="17">
        <v>8482</v>
      </c>
      <c r="AIP19" s="14">
        <v>33580</v>
      </c>
      <c r="AIQ19" s="17">
        <v>39992</v>
      </c>
      <c r="AIR19" s="14">
        <v>41345</v>
      </c>
      <c r="AIS19" s="17">
        <v>15455</v>
      </c>
      <c r="AIT19" s="14">
        <v>5135</v>
      </c>
      <c r="AIU19" s="17">
        <v>14280</v>
      </c>
      <c r="AIV19" s="14">
        <v>28932</v>
      </c>
      <c r="AIW19" s="17">
        <v>23108</v>
      </c>
      <c r="AIX19" s="14">
        <v>49360</v>
      </c>
      <c r="AIY19" s="17">
        <v>45459</v>
      </c>
      <c r="AIZ19" s="14">
        <v>27346</v>
      </c>
      <c r="AJA19" s="17">
        <v>22249</v>
      </c>
      <c r="AJB19" s="14">
        <v>8916</v>
      </c>
      <c r="AJC19" s="17">
        <v>45832</v>
      </c>
      <c r="AJD19" s="14">
        <v>38746</v>
      </c>
      <c r="AJE19" s="17">
        <v>36775</v>
      </c>
      <c r="AJF19" s="14">
        <v>10000</v>
      </c>
      <c r="AJG19" s="17">
        <v>22075</v>
      </c>
      <c r="AJH19" s="14">
        <v>14974</v>
      </c>
      <c r="AJI19" s="17">
        <v>3987</v>
      </c>
      <c r="AJJ19" s="14">
        <v>39868</v>
      </c>
      <c r="AJK19" s="17">
        <v>12367</v>
      </c>
      <c r="AJL19" s="14">
        <v>22987</v>
      </c>
      <c r="AJM19" s="17">
        <v>5143</v>
      </c>
      <c r="AJN19" s="14">
        <v>8913</v>
      </c>
      <c r="AJO19" s="17">
        <v>18949</v>
      </c>
      <c r="AJP19" s="14">
        <v>10256</v>
      </c>
      <c r="AJQ19" s="17">
        <v>28207</v>
      </c>
      <c r="AJR19" s="14">
        <v>12013</v>
      </c>
      <c r="AJS19" s="17">
        <v>46632</v>
      </c>
      <c r="AJT19" s="14">
        <v>25243</v>
      </c>
      <c r="AJU19" s="17">
        <v>37268</v>
      </c>
      <c r="AJV19" s="14">
        <v>11813</v>
      </c>
      <c r="AJW19" s="17">
        <v>29748</v>
      </c>
      <c r="AJX19" s="14">
        <v>16967</v>
      </c>
      <c r="AJY19" s="17">
        <v>39141</v>
      </c>
      <c r="AJZ19" s="14">
        <v>3667</v>
      </c>
      <c r="AKA19" s="17">
        <v>9740</v>
      </c>
      <c r="AKB19" s="14">
        <v>7551</v>
      </c>
      <c r="AKC19" s="17">
        <v>42431</v>
      </c>
      <c r="AKD19" s="14">
        <v>41136</v>
      </c>
      <c r="AKE19" s="17">
        <v>25650</v>
      </c>
      <c r="AKF19" s="14">
        <v>11338</v>
      </c>
      <c r="AKG19" s="17">
        <v>2024</v>
      </c>
      <c r="AKH19" s="14">
        <v>32913</v>
      </c>
      <c r="AKI19" s="17">
        <v>6290</v>
      </c>
      <c r="AKJ19" s="14">
        <v>1416</v>
      </c>
      <c r="AKK19" s="17">
        <v>1473</v>
      </c>
      <c r="AKL19" s="14">
        <v>12758</v>
      </c>
      <c r="AKM19" s="17">
        <v>6841</v>
      </c>
      <c r="AKN19" s="14">
        <v>47316</v>
      </c>
      <c r="AKO19" s="17">
        <v>43713</v>
      </c>
      <c r="AKP19" s="14">
        <v>39910</v>
      </c>
      <c r="AKQ19" s="17">
        <v>19594</v>
      </c>
      <c r="AKR19" s="14">
        <v>28277</v>
      </c>
      <c r="AKS19" s="17">
        <v>46449</v>
      </c>
      <c r="AKT19" s="14">
        <v>32195</v>
      </c>
      <c r="AKU19" s="17">
        <v>46374</v>
      </c>
      <c r="AKV19" s="14">
        <v>9316</v>
      </c>
      <c r="AKW19" s="17">
        <v>14510</v>
      </c>
      <c r="AKX19" s="14">
        <v>10377</v>
      </c>
      <c r="AKY19" s="17">
        <v>42931</v>
      </c>
      <c r="AKZ19" s="14">
        <v>18756</v>
      </c>
      <c r="ALA19" s="17">
        <v>35281</v>
      </c>
      <c r="ALB19" s="14">
        <v>30518</v>
      </c>
      <c r="ALC19" s="17">
        <v>28002</v>
      </c>
      <c r="ALD19" s="14">
        <v>16679</v>
      </c>
      <c r="ALE19" s="17">
        <v>12439</v>
      </c>
      <c r="ALF19" s="14">
        <v>41012</v>
      </c>
      <c r="ALG19" s="17">
        <v>46329</v>
      </c>
      <c r="ALH19" s="14">
        <v>3465</v>
      </c>
      <c r="ALI19" s="17">
        <v>40077</v>
      </c>
      <c r="ALJ19" s="14">
        <v>12796</v>
      </c>
      <c r="ALK19" s="17">
        <v>48002</v>
      </c>
      <c r="ALL19" s="14">
        <v>33760</v>
      </c>
      <c r="ALM19" s="17">
        <v>41111</v>
      </c>
      <c r="ALN19" s="14">
        <v>6768</v>
      </c>
      <c r="ALO19" s="17">
        <v>42103</v>
      </c>
      <c r="ALP19" s="14">
        <v>20739</v>
      </c>
      <c r="ALQ19" s="17">
        <v>23796</v>
      </c>
      <c r="ALR19" s="14">
        <v>28445</v>
      </c>
      <c r="ALS19" s="17">
        <v>1299</v>
      </c>
      <c r="ALT19" s="14">
        <v>37550</v>
      </c>
      <c r="ALU19" s="17">
        <v>16442</v>
      </c>
      <c r="ALV19" s="14">
        <v>13576</v>
      </c>
      <c r="ALW19" s="17">
        <v>8700</v>
      </c>
      <c r="ALX19" s="14">
        <v>35747</v>
      </c>
      <c r="ALY19" s="21">
        <v>7270</v>
      </c>
    </row>
    <row r="20" spans="1:1013" x14ac:dyDescent="0.25">
      <c r="A20" t="s">
        <v>28</v>
      </c>
      <c r="B20" s="1">
        <v>45185</v>
      </c>
      <c r="C20" t="s">
        <v>1010</v>
      </c>
      <c r="D20" t="s">
        <v>1016</v>
      </c>
      <c r="E20" t="s">
        <v>1031</v>
      </c>
      <c r="F20" t="s">
        <v>1033</v>
      </c>
      <c r="G20">
        <v>3</v>
      </c>
      <c r="H20">
        <v>35540</v>
      </c>
      <c r="I20">
        <v>10</v>
      </c>
      <c r="J20" t="s">
        <v>1036</v>
      </c>
      <c r="K20">
        <v>95958</v>
      </c>
      <c r="N20" s="14">
        <v>20</v>
      </c>
      <c r="O20" s="17">
        <v>10</v>
      </c>
      <c r="P20" s="14">
        <v>20</v>
      </c>
      <c r="Q20" s="17">
        <v>20</v>
      </c>
      <c r="R20" s="14">
        <v>5</v>
      </c>
      <c r="S20" s="17">
        <v>15</v>
      </c>
      <c r="T20" s="14">
        <v>5</v>
      </c>
      <c r="U20" s="17">
        <v>10</v>
      </c>
      <c r="V20" s="14">
        <v>0</v>
      </c>
      <c r="W20" s="17">
        <v>5</v>
      </c>
      <c r="X20" s="14">
        <v>0</v>
      </c>
      <c r="Y20" s="17">
        <v>5</v>
      </c>
      <c r="Z20" s="14">
        <v>15</v>
      </c>
      <c r="AA20" s="17">
        <v>15</v>
      </c>
      <c r="AB20" s="14">
        <v>5</v>
      </c>
      <c r="AC20" s="17">
        <v>5</v>
      </c>
      <c r="AD20" s="14">
        <v>0</v>
      </c>
      <c r="AE20" s="17">
        <v>0</v>
      </c>
      <c r="AF20" s="14">
        <v>10</v>
      </c>
      <c r="AG20" s="17">
        <v>10</v>
      </c>
      <c r="AH20" s="14">
        <v>5</v>
      </c>
      <c r="AI20" s="17">
        <v>15</v>
      </c>
      <c r="AJ20" s="14">
        <v>10</v>
      </c>
      <c r="AK20" s="17">
        <v>10</v>
      </c>
      <c r="AL20" s="14">
        <v>20</v>
      </c>
      <c r="AM20" s="17">
        <v>15</v>
      </c>
      <c r="AN20" s="14">
        <v>0</v>
      </c>
      <c r="AO20" s="17">
        <v>0</v>
      </c>
      <c r="AP20" s="14">
        <v>0</v>
      </c>
      <c r="AQ20" s="17">
        <v>20</v>
      </c>
      <c r="AR20" s="14">
        <v>5</v>
      </c>
      <c r="AS20" s="17">
        <v>5</v>
      </c>
      <c r="AT20" s="14">
        <v>0</v>
      </c>
      <c r="AU20" s="17">
        <v>15</v>
      </c>
      <c r="AV20" s="14">
        <v>20</v>
      </c>
      <c r="AW20" s="17">
        <v>0</v>
      </c>
      <c r="AX20" s="14">
        <v>0</v>
      </c>
      <c r="AY20" s="17">
        <v>5</v>
      </c>
      <c r="AZ20" s="14">
        <v>15</v>
      </c>
      <c r="BA20" s="17">
        <v>20</v>
      </c>
      <c r="BB20" s="14">
        <v>20</v>
      </c>
      <c r="BC20" s="17">
        <v>10</v>
      </c>
      <c r="BD20" s="14">
        <v>15</v>
      </c>
      <c r="BE20" s="17">
        <v>5</v>
      </c>
      <c r="BF20" s="14">
        <v>10</v>
      </c>
      <c r="BG20" s="17">
        <v>5</v>
      </c>
      <c r="BH20" s="14">
        <v>0</v>
      </c>
      <c r="BI20" s="17">
        <v>10</v>
      </c>
      <c r="BJ20" s="14">
        <v>5</v>
      </c>
      <c r="BK20" s="17">
        <v>0</v>
      </c>
      <c r="BL20" s="14">
        <v>5</v>
      </c>
      <c r="BM20" s="17">
        <v>15</v>
      </c>
      <c r="BN20" s="14">
        <v>5</v>
      </c>
      <c r="BO20" s="17">
        <v>15</v>
      </c>
      <c r="BP20" s="14">
        <v>5</v>
      </c>
      <c r="BQ20" s="17">
        <v>0</v>
      </c>
      <c r="BR20" s="14">
        <v>15</v>
      </c>
      <c r="BS20" s="17">
        <v>20</v>
      </c>
      <c r="BT20" s="14">
        <v>15</v>
      </c>
      <c r="BU20" s="17">
        <v>0</v>
      </c>
      <c r="BV20" s="14">
        <v>15</v>
      </c>
      <c r="BW20" s="17">
        <v>5</v>
      </c>
      <c r="BX20" s="14">
        <v>5</v>
      </c>
      <c r="BY20" s="17">
        <v>20</v>
      </c>
      <c r="BZ20" s="14">
        <v>15</v>
      </c>
      <c r="CA20" s="17">
        <v>5</v>
      </c>
      <c r="CB20" s="14">
        <v>15</v>
      </c>
      <c r="CC20" s="17">
        <v>10</v>
      </c>
      <c r="CD20" s="14">
        <v>5</v>
      </c>
      <c r="CE20" s="17">
        <v>15</v>
      </c>
      <c r="CF20" s="14">
        <v>5</v>
      </c>
      <c r="CG20" s="17">
        <v>10</v>
      </c>
      <c r="CH20" s="14">
        <v>10</v>
      </c>
      <c r="CI20" s="17">
        <v>5</v>
      </c>
      <c r="CJ20" s="14">
        <v>10</v>
      </c>
      <c r="CK20" s="17">
        <v>5</v>
      </c>
      <c r="CL20" s="14">
        <v>0</v>
      </c>
      <c r="CM20" s="17">
        <v>20</v>
      </c>
      <c r="CN20" s="14">
        <v>0</v>
      </c>
      <c r="CO20" s="17">
        <v>10</v>
      </c>
      <c r="CP20" s="14">
        <v>5</v>
      </c>
      <c r="CQ20" s="17">
        <v>0</v>
      </c>
      <c r="CR20" s="14">
        <v>15</v>
      </c>
      <c r="CS20" s="17">
        <v>15</v>
      </c>
      <c r="CT20" s="14">
        <v>15</v>
      </c>
      <c r="CU20" s="17">
        <v>5</v>
      </c>
      <c r="CV20" s="14">
        <v>10</v>
      </c>
      <c r="CW20" s="17">
        <v>5</v>
      </c>
      <c r="CX20" s="14">
        <v>10</v>
      </c>
      <c r="CY20" s="17">
        <v>20</v>
      </c>
      <c r="CZ20" s="14">
        <v>5</v>
      </c>
      <c r="DA20" s="17">
        <v>20</v>
      </c>
      <c r="DB20" s="14">
        <v>5</v>
      </c>
      <c r="DC20" s="17">
        <v>20</v>
      </c>
      <c r="DD20" s="14">
        <v>20</v>
      </c>
      <c r="DE20" s="17">
        <v>5</v>
      </c>
      <c r="DF20" s="14">
        <v>0</v>
      </c>
      <c r="DG20" s="17">
        <v>15</v>
      </c>
      <c r="DH20" s="14">
        <v>20</v>
      </c>
      <c r="DI20" s="17">
        <v>15</v>
      </c>
      <c r="DJ20" s="14">
        <v>5</v>
      </c>
      <c r="DK20" s="17">
        <v>20</v>
      </c>
      <c r="DL20" s="14">
        <v>15</v>
      </c>
      <c r="DM20" s="17">
        <v>15</v>
      </c>
      <c r="DN20" s="14">
        <v>10</v>
      </c>
      <c r="DO20" s="17">
        <v>0</v>
      </c>
      <c r="DP20" s="14">
        <v>15</v>
      </c>
      <c r="DQ20" s="17">
        <v>5</v>
      </c>
      <c r="DR20" s="14">
        <v>5</v>
      </c>
      <c r="DS20" s="17">
        <v>10</v>
      </c>
      <c r="DT20" s="14">
        <v>15</v>
      </c>
      <c r="DU20" s="17">
        <v>20</v>
      </c>
      <c r="DV20" s="14">
        <v>5</v>
      </c>
      <c r="DW20" s="17">
        <v>20</v>
      </c>
      <c r="DX20" s="14">
        <v>5</v>
      </c>
      <c r="DY20" s="17">
        <v>20</v>
      </c>
      <c r="DZ20" s="14">
        <v>0</v>
      </c>
      <c r="EA20" s="17">
        <v>15</v>
      </c>
      <c r="EB20" s="14">
        <v>0</v>
      </c>
      <c r="EC20" s="17">
        <v>0</v>
      </c>
      <c r="ED20" s="14">
        <v>15</v>
      </c>
      <c r="EE20" s="17">
        <v>20</v>
      </c>
      <c r="EF20" s="14">
        <v>0</v>
      </c>
      <c r="EG20" s="17">
        <v>15</v>
      </c>
      <c r="EH20" s="14">
        <v>20</v>
      </c>
      <c r="EI20" s="17">
        <v>15</v>
      </c>
      <c r="EJ20" s="14">
        <v>15</v>
      </c>
      <c r="EK20" s="17">
        <v>0</v>
      </c>
      <c r="EL20" s="14">
        <v>15</v>
      </c>
      <c r="EM20" s="17">
        <v>15</v>
      </c>
      <c r="EN20" s="14">
        <v>5</v>
      </c>
      <c r="EO20" s="17">
        <v>0</v>
      </c>
      <c r="EP20" s="14">
        <v>20</v>
      </c>
      <c r="EQ20" s="17">
        <v>0</v>
      </c>
      <c r="ER20" s="14">
        <v>15</v>
      </c>
      <c r="ES20" s="17">
        <v>5</v>
      </c>
      <c r="ET20" s="14">
        <v>5</v>
      </c>
      <c r="EU20" s="17">
        <v>10</v>
      </c>
      <c r="EV20" s="14">
        <v>10</v>
      </c>
      <c r="EW20" s="17">
        <v>5</v>
      </c>
      <c r="EX20" s="14">
        <v>0</v>
      </c>
      <c r="EY20" s="17">
        <v>0</v>
      </c>
      <c r="EZ20" s="14">
        <v>15</v>
      </c>
      <c r="FA20" s="17">
        <v>10</v>
      </c>
      <c r="FB20" s="14">
        <v>5</v>
      </c>
      <c r="FC20" s="17">
        <v>15</v>
      </c>
      <c r="FD20" s="14">
        <v>20</v>
      </c>
      <c r="FE20" s="17">
        <v>20</v>
      </c>
      <c r="FF20" s="14">
        <v>0</v>
      </c>
      <c r="FG20" s="17">
        <v>15</v>
      </c>
      <c r="FH20" s="14">
        <v>15</v>
      </c>
      <c r="FI20" s="17">
        <v>5</v>
      </c>
      <c r="FJ20" s="14">
        <v>15</v>
      </c>
      <c r="FK20" s="17">
        <v>5</v>
      </c>
      <c r="FL20" s="14">
        <v>10</v>
      </c>
      <c r="FM20" s="17">
        <v>15</v>
      </c>
      <c r="FN20" s="14">
        <v>0</v>
      </c>
      <c r="FO20" s="17">
        <v>0</v>
      </c>
      <c r="FP20" s="14">
        <v>15</v>
      </c>
      <c r="FQ20" s="17">
        <v>10</v>
      </c>
      <c r="FR20" s="14">
        <v>20</v>
      </c>
      <c r="FS20" s="17">
        <v>0</v>
      </c>
      <c r="FT20" s="14">
        <v>10</v>
      </c>
      <c r="FU20" s="17">
        <v>15</v>
      </c>
      <c r="FV20" s="14">
        <v>10</v>
      </c>
      <c r="FW20" s="17">
        <v>20</v>
      </c>
      <c r="FX20" s="14">
        <v>20</v>
      </c>
      <c r="FY20" s="17">
        <v>20</v>
      </c>
      <c r="FZ20" s="14">
        <v>5</v>
      </c>
      <c r="GA20" s="17">
        <v>0</v>
      </c>
      <c r="GB20" s="14">
        <v>20</v>
      </c>
      <c r="GC20" s="17">
        <v>10</v>
      </c>
      <c r="GD20" s="14">
        <v>0</v>
      </c>
      <c r="GE20" s="17">
        <v>20</v>
      </c>
      <c r="GF20" s="14">
        <v>10</v>
      </c>
      <c r="GG20" s="17">
        <v>0</v>
      </c>
      <c r="GH20" s="14">
        <v>0</v>
      </c>
      <c r="GI20" s="17">
        <v>15</v>
      </c>
      <c r="GJ20" s="14">
        <v>10</v>
      </c>
      <c r="GK20" s="17">
        <v>15</v>
      </c>
      <c r="GL20" s="14">
        <v>20</v>
      </c>
      <c r="GM20" s="17">
        <v>0</v>
      </c>
      <c r="GN20" s="14">
        <v>10</v>
      </c>
      <c r="GO20" s="17">
        <v>10</v>
      </c>
      <c r="GP20" s="14">
        <v>5</v>
      </c>
      <c r="GQ20" s="17">
        <v>20</v>
      </c>
      <c r="GR20" s="14">
        <v>0</v>
      </c>
      <c r="GS20" s="17">
        <v>20</v>
      </c>
      <c r="GT20" s="14">
        <v>5</v>
      </c>
      <c r="GU20" s="17">
        <v>5</v>
      </c>
      <c r="GV20" s="14">
        <v>10</v>
      </c>
      <c r="GW20" s="17">
        <v>5</v>
      </c>
      <c r="GX20" s="14">
        <v>20</v>
      </c>
      <c r="GY20" s="17">
        <v>0</v>
      </c>
      <c r="GZ20" s="14">
        <v>15</v>
      </c>
      <c r="HA20" s="17">
        <v>20</v>
      </c>
      <c r="HB20" s="14">
        <v>5</v>
      </c>
      <c r="HC20" s="17">
        <v>5</v>
      </c>
      <c r="HD20" s="14">
        <v>10</v>
      </c>
      <c r="HE20" s="17">
        <v>10</v>
      </c>
      <c r="HF20" s="14">
        <v>10</v>
      </c>
      <c r="HG20" s="17">
        <v>20</v>
      </c>
      <c r="HH20" s="14">
        <v>15</v>
      </c>
      <c r="HI20" s="17">
        <v>10</v>
      </c>
      <c r="HJ20" s="14">
        <v>0</v>
      </c>
      <c r="HK20" s="17">
        <v>0</v>
      </c>
      <c r="HL20" s="14">
        <v>10</v>
      </c>
      <c r="HM20" s="17">
        <v>10</v>
      </c>
      <c r="HN20" s="14">
        <v>15</v>
      </c>
      <c r="HO20" s="17">
        <v>15</v>
      </c>
      <c r="HP20" s="14">
        <v>20</v>
      </c>
      <c r="HQ20" s="17">
        <v>20</v>
      </c>
      <c r="HR20" s="14">
        <v>0</v>
      </c>
      <c r="HS20" s="17">
        <v>15</v>
      </c>
      <c r="HT20" s="14">
        <v>20</v>
      </c>
      <c r="HU20" s="17">
        <v>20</v>
      </c>
      <c r="HV20" s="14">
        <v>10</v>
      </c>
      <c r="HW20" s="17">
        <v>15</v>
      </c>
      <c r="HX20" s="14">
        <v>20</v>
      </c>
      <c r="HY20" s="17">
        <v>10</v>
      </c>
      <c r="HZ20" s="14">
        <v>0</v>
      </c>
      <c r="IA20" s="17">
        <v>5</v>
      </c>
      <c r="IB20" s="14">
        <v>15</v>
      </c>
      <c r="IC20" s="17">
        <v>0</v>
      </c>
      <c r="ID20" s="14">
        <v>0</v>
      </c>
      <c r="IE20" s="17">
        <v>15</v>
      </c>
      <c r="IF20" s="14">
        <v>5</v>
      </c>
      <c r="IG20" s="17">
        <v>10</v>
      </c>
      <c r="IH20" s="14">
        <v>0</v>
      </c>
      <c r="II20" s="17">
        <v>0</v>
      </c>
      <c r="IJ20" s="14">
        <v>5</v>
      </c>
      <c r="IK20" s="17">
        <v>10</v>
      </c>
      <c r="IL20" s="14">
        <v>0</v>
      </c>
      <c r="IM20" s="17">
        <v>5</v>
      </c>
      <c r="IN20" s="14">
        <v>15</v>
      </c>
      <c r="IO20" s="17">
        <v>5</v>
      </c>
      <c r="IP20" s="14">
        <v>5</v>
      </c>
      <c r="IQ20" s="17">
        <v>20</v>
      </c>
      <c r="IR20" s="14">
        <v>0</v>
      </c>
      <c r="IS20" s="17">
        <v>10</v>
      </c>
      <c r="IT20" s="14">
        <v>15</v>
      </c>
      <c r="IU20" s="17">
        <v>20</v>
      </c>
      <c r="IV20" s="14">
        <v>5</v>
      </c>
      <c r="IW20" s="17">
        <v>15</v>
      </c>
      <c r="IX20" s="14">
        <v>10</v>
      </c>
      <c r="IY20" s="17">
        <v>15</v>
      </c>
      <c r="IZ20" s="14">
        <v>15</v>
      </c>
      <c r="JA20" s="17">
        <v>0</v>
      </c>
      <c r="JB20" s="14">
        <v>10</v>
      </c>
      <c r="JC20" s="17">
        <v>5</v>
      </c>
      <c r="JD20" s="14">
        <v>0</v>
      </c>
      <c r="JE20" s="17">
        <v>0</v>
      </c>
      <c r="JF20" s="14">
        <v>5</v>
      </c>
      <c r="JG20" s="17">
        <v>20</v>
      </c>
      <c r="JH20" s="14">
        <v>10</v>
      </c>
      <c r="JI20" s="17">
        <v>15</v>
      </c>
      <c r="JJ20" s="14">
        <v>20</v>
      </c>
      <c r="JK20" s="17">
        <v>10</v>
      </c>
      <c r="JL20" s="14">
        <v>10</v>
      </c>
      <c r="JM20" s="17">
        <v>15</v>
      </c>
      <c r="JN20" s="14">
        <v>20</v>
      </c>
      <c r="JO20" s="17">
        <v>20</v>
      </c>
      <c r="JP20" s="14">
        <v>20</v>
      </c>
      <c r="JQ20" s="17">
        <v>15</v>
      </c>
      <c r="JR20" s="14">
        <v>15</v>
      </c>
      <c r="JS20" s="17">
        <v>10</v>
      </c>
      <c r="JT20" s="14">
        <v>20</v>
      </c>
      <c r="JU20" s="17">
        <v>5</v>
      </c>
      <c r="JV20" s="14">
        <v>10</v>
      </c>
      <c r="JW20" s="17">
        <v>5</v>
      </c>
      <c r="JX20" s="14">
        <v>10</v>
      </c>
      <c r="JY20" s="17">
        <v>5</v>
      </c>
      <c r="JZ20" s="14">
        <v>15</v>
      </c>
      <c r="KA20" s="17">
        <v>10</v>
      </c>
      <c r="KB20" s="14">
        <v>10</v>
      </c>
      <c r="KC20" s="17">
        <v>0</v>
      </c>
      <c r="KD20" s="14">
        <v>5</v>
      </c>
      <c r="KE20" s="17">
        <v>10</v>
      </c>
      <c r="KF20" s="14">
        <v>10</v>
      </c>
      <c r="KG20" s="17">
        <v>15</v>
      </c>
      <c r="KH20" s="14">
        <v>5</v>
      </c>
      <c r="KI20" s="17">
        <v>20</v>
      </c>
      <c r="KJ20" s="14">
        <v>5</v>
      </c>
      <c r="KK20" s="17">
        <v>20</v>
      </c>
      <c r="KL20" s="14">
        <v>10</v>
      </c>
      <c r="KM20" s="17">
        <v>5</v>
      </c>
      <c r="KN20" s="14">
        <v>5</v>
      </c>
      <c r="KO20" s="17">
        <v>5</v>
      </c>
      <c r="KP20" s="14">
        <v>5</v>
      </c>
      <c r="KQ20" s="17">
        <v>5</v>
      </c>
      <c r="KR20" s="14">
        <v>0</v>
      </c>
      <c r="KS20" s="17">
        <v>0</v>
      </c>
      <c r="KT20" s="14">
        <v>10</v>
      </c>
      <c r="KU20" s="17">
        <v>20</v>
      </c>
      <c r="KV20" s="14">
        <v>5</v>
      </c>
      <c r="KW20" s="17">
        <v>15</v>
      </c>
      <c r="KX20" s="14">
        <v>10</v>
      </c>
      <c r="KY20" s="17">
        <v>10</v>
      </c>
      <c r="KZ20" s="14">
        <v>5</v>
      </c>
      <c r="LA20" s="17">
        <v>5</v>
      </c>
      <c r="LB20" s="14">
        <v>20</v>
      </c>
      <c r="LC20" s="17">
        <v>0</v>
      </c>
      <c r="LD20" s="14">
        <v>10</v>
      </c>
      <c r="LE20" s="17">
        <v>10</v>
      </c>
      <c r="LF20" s="14">
        <v>5</v>
      </c>
      <c r="LG20" s="17">
        <v>10</v>
      </c>
      <c r="LH20" s="14">
        <v>15</v>
      </c>
      <c r="LI20" s="17">
        <v>20</v>
      </c>
      <c r="LJ20" s="14">
        <v>5</v>
      </c>
      <c r="LK20" s="17">
        <v>20</v>
      </c>
      <c r="LL20" s="14">
        <v>10</v>
      </c>
      <c r="LM20" s="17">
        <v>0</v>
      </c>
      <c r="LN20" s="14">
        <v>0</v>
      </c>
      <c r="LO20" s="17">
        <v>15</v>
      </c>
      <c r="LP20" s="14">
        <v>15</v>
      </c>
      <c r="LQ20" s="17">
        <v>5</v>
      </c>
      <c r="LR20" s="14">
        <v>15</v>
      </c>
      <c r="LS20" s="17">
        <v>10</v>
      </c>
      <c r="LT20" s="14">
        <v>5</v>
      </c>
      <c r="LU20" s="17">
        <v>0</v>
      </c>
      <c r="LV20" s="14">
        <v>20</v>
      </c>
      <c r="LW20" s="17">
        <v>20</v>
      </c>
      <c r="LX20" s="14">
        <v>10</v>
      </c>
      <c r="LY20" s="17">
        <v>10</v>
      </c>
      <c r="LZ20" s="14">
        <v>15</v>
      </c>
      <c r="MA20" s="17">
        <v>10</v>
      </c>
      <c r="MB20" s="14">
        <v>20</v>
      </c>
      <c r="MC20" s="17">
        <v>5</v>
      </c>
      <c r="MD20" s="14">
        <v>20</v>
      </c>
      <c r="ME20" s="17">
        <v>15</v>
      </c>
      <c r="MF20" s="14">
        <v>10</v>
      </c>
      <c r="MG20" s="17">
        <v>0</v>
      </c>
      <c r="MH20" s="14">
        <v>15</v>
      </c>
      <c r="MI20" s="17">
        <v>0</v>
      </c>
      <c r="MJ20" s="14">
        <v>5</v>
      </c>
      <c r="MK20" s="17">
        <v>20</v>
      </c>
      <c r="ML20" s="14">
        <v>0</v>
      </c>
      <c r="MM20" s="17">
        <v>10</v>
      </c>
      <c r="MN20" s="14">
        <v>0</v>
      </c>
      <c r="MO20" s="17">
        <v>15</v>
      </c>
      <c r="MP20" s="14">
        <v>20</v>
      </c>
      <c r="MQ20" s="17">
        <v>5</v>
      </c>
      <c r="MR20" s="14">
        <v>15</v>
      </c>
      <c r="MS20" s="17">
        <v>10</v>
      </c>
      <c r="MT20" s="14">
        <v>0</v>
      </c>
      <c r="MU20" s="17">
        <v>10</v>
      </c>
      <c r="MV20" s="14">
        <v>0</v>
      </c>
      <c r="MW20" s="17">
        <v>20</v>
      </c>
      <c r="MX20" s="14">
        <v>5</v>
      </c>
      <c r="MY20" s="17">
        <v>20</v>
      </c>
      <c r="MZ20" s="14">
        <v>20</v>
      </c>
      <c r="NA20" s="17">
        <v>5</v>
      </c>
      <c r="NB20" s="14">
        <v>10</v>
      </c>
      <c r="NC20" s="17">
        <v>5</v>
      </c>
      <c r="ND20" s="14">
        <v>0</v>
      </c>
      <c r="NE20" s="17">
        <v>0</v>
      </c>
      <c r="NF20" s="14">
        <v>20</v>
      </c>
      <c r="NG20" s="17">
        <v>15</v>
      </c>
      <c r="NH20" s="14">
        <v>0</v>
      </c>
      <c r="NI20" s="17">
        <v>20</v>
      </c>
      <c r="NJ20" s="14">
        <v>15</v>
      </c>
      <c r="NK20" s="17">
        <v>5</v>
      </c>
      <c r="NL20" s="14">
        <v>15</v>
      </c>
      <c r="NM20" s="17">
        <v>10</v>
      </c>
      <c r="NN20" s="14">
        <v>20</v>
      </c>
      <c r="NO20" s="17">
        <v>20</v>
      </c>
      <c r="NP20" s="14">
        <v>20</v>
      </c>
      <c r="NQ20" s="17">
        <v>0</v>
      </c>
      <c r="NR20" s="14">
        <v>10</v>
      </c>
      <c r="NS20" s="17">
        <v>15</v>
      </c>
      <c r="NT20" s="14">
        <v>5</v>
      </c>
      <c r="NU20" s="17">
        <v>15</v>
      </c>
      <c r="NV20" s="14">
        <v>10</v>
      </c>
      <c r="NW20" s="17">
        <v>15</v>
      </c>
      <c r="NX20" s="14">
        <v>10</v>
      </c>
      <c r="NY20" s="17">
        <v>0</v>
      </c>
      <c r="NZ20" s="14">
        <v>10</v>
      </c>
      <c r="OA20" s="17">
        <v>10</v>
      </c>
      <c r="OB20" s="14">
        <v>10</v>
      </c>
      <c r="OC20" s="17">
        <v>10</v>
      </c>
      <c r="OD20" s="14">
        <v>15</v>
      </c>
      <c r="OE20" s="17">
        <v>20</v>
      </c>
      <c r="OF20" s="14">
        <v>0</v>
      </c>
      <c r="OG20" s="17">
        <v>5</v>
      </c>
      <c r="OH20" s="14">
        <v>15</v>
      </c>
      <c r="OI20" s="17">
        <v>15</v>
      </c>
      <c r="OJ20" s="14">
        <v>15</v>
      </c>
      <c r="OK20" s="17">
        <v>10</v>
      </c>
      <c r="OL20" s="14">
        <v>5</v>
      </c>
      <c r="OM20" s="17">
        <v>15</v>
      </c>
      <c r="ON20" s="14">
        <v>15</v>
      </c>
      <c r="OO20" s="17">
        <v>5</v>
      </c>
      <c r="OP20" s="14">
        <v>20</v>
      </c>
      <c r="OQ20" s="17">
        <v>20</v>
      </c>
      <c r="OR20" s="14">
        <v>0</v>
      </c>
      <c r="OS20" s="17">
        <v>5</v>
      </c>
      <c r="OT20" s="14">
        <v>5</v>
      </c>
      <c r="OU20" s="17">
        <v>10</v>
      </c>
      <c r="OV20" s="14">
        <v>15</v>
      </c>
      <c r="OW20" s="17">
        <v>20</v>
      </c>
      <c r="OX20" s="14">
        <v>10</v>
      </c>
      <c r="OY20" s="17">
        <v>0</v>
      </c>
      <c r="OZ20" s="14">
        <v>20</v>
      </c>
      <c r="PA20" s="17">
        <v>15</v>
      </c>
      <c r="PB20" s="14">
        <v>0</v>
      </c>
      <c r="PC20" s="17">
        <v>0</v>
      </c>
      <c r="PD20" s="14">
        <v>15</v>
      </c>
      <c r="PE20" s="17">
        <v>10</v>
      </c>
      <c r="PF20" s="14">
        <v>15</v>
      </c>
      <c r="PG20" s="17">
        <v>5</v>
      </c>
      <c r="PH20" s="14">
        <v>20</v>
      </c>
      <c r="PI20" s="17">
        <v>15</v>
      </c>
      <c r="PJ20" s="14">
        <v>20</v>
      </c>
      <c r="PK20" s="17">
        <v>5</v>
      </c>
      <c r="PL20" s="14">
        <v>5</v>
      </c>
      <c r="PM20" s="17">
        <v>5</v>
      </c>
      <c r="PN20" s="14">
        <v>15</v>
      </c>
      <c r="PO20" s="17">
        <v>10</v>
      </c>
      <c r="PP20" s="14">
        <v>20</v>
      </c>
      <c r="PQ20" s="17">
        <v>15</v>
      </c>
      <c r="PR20" s="14">
        <v>0</v>
      </c>
      <c r="PS20" s="17">
        <v>10</v>
      </c>
      <c r="PT20" s="14">
        <v>20</v>
      </c>
      <c r="PU20" s="17">
        <v>10</v>
      </c>
      <c r="PV20" s="14">
        <v>15</v>
      </c>
      <c r="PW20" s="17">
        <v>20</v>
      </c>
      <c r="PX20" s="14">
        <v>15</v>
      </c>
      <c r="PY20" s="17">
        <v>5</v>
      </c>
      <c r="PZ20" s="14">
        <v>0</v>
      </c>
      <c r="QA20" s="17">
        <v>0</v>
      </c>
      <c r="QB20" s="14">
        <v>5</v>
      </c>
      <c r="QC20" s="17">
        <v>10</v>
      </c>
      <c r="QD20" s="14">
        <v>10</v>
      </c>
      <c r="QE20" s="17">
        <v>15</v>
      </c>
      <c r="QF20" s="14">
        <v>0</v>
      </c>
      <c r="QG20" s="17">
        <v>10</v>
      </c>
      <c r="QH20" s="14">
        <v>15</v>
      </c>
      <c r="QI20" s="17">
        <v>5</v>
      </c>
      <c r="QJ20" s="14">
        <v>15</v>
      </c>
      <c r="QK20" s="17">
        <v>5</v>
      </c>
      <c r="QL20" s="14">
        <v>0</v>
      </c>
      <c r="QM20" s="17">
        <v>0</v>
      </c>
      <c r="QN20" s="14">
        <v>10</v>
      </c>
      <c r="QO20" s="17">
        <v>15</v>
      </c>
      <c r="QP20" s="14">
        <v>0</v>
      </c>
      <c r="QQ20" s="17">
        <v>20</v>
      </c>
      <c r="QR20" s="14">
        <v>10</v>
      </c>
      <c r="QS20" s="17">
        <v>20</v>
      </c>
      <c r="QT20" s="14">
        <v>15</v>
      </c>
      <c r="QU20" s="17">
        <v>20</v>
      </c>
      <c r="QV20" s="14">
        <v>15</v>
      </c>
      <c r="QW20" s="17">
        <v>10</v>
      </c>
      <c r="QX20" s="14">
        <v>15</v>
      </c>
      <c r="QY20" s="17">
        <v>0</v>
      </c>
      <c r="QZ20" s="14">
        <v>10</v>
      </c>
      <c r="RA20" s="17">
        <v>20</v>
      </c>
      <c r="RB20" s="14">
        <v>20</v>
      </c>
      <c r="RC20" s="17">
        <v>0</v>
      </c>
      <c r="RD20" s="14">
        <v>10</v>
      </c>
      <c r="RE20" s="17">
        <v>5</v>
      </c>
      <c r="RF20" s="14">
        <v>20</v>
      </c>
      <c r="RG20" s="17">
        <v>0</v>
      </c>
      <c r="RH20" s="14">
        <v>5</v>
      </c>
      <c r="RI20" s="17">
        <v>10</v>
      </c>
      <c r="RJ20" s="14">
        <v>15</v>
      </c>
      <c r="RK20" s="17">
        <v>5</v>
      </c>
      <c r="RL20" s="14">
        <v>10</v>
      </c>
      <c r="RM20" s="17">
        <v>5</v>
      </c>
      <c r="RN20" s="14">
        <v>0</v>
      </c>
      <c r="RO20" s="17">
        <v>10</v>
      </c>
      <c r="RP20" s="14">
        <v>10</v>
      </c>
      <c r="RQ20" s="17">
        <v>15</v>
      </c>
      <c r="RR20" s="14">
        <v>10</v>
      </c>
      <c r="RS20" s="17">
        <v>0</v>
      </c>
      <c r="RT20" s="14">
        <v>10</v>
      </c>
      <c r="RU20" s="17">
        <v>10</v>
      </c>
      <c r="RV20" s="14">
        <v>20</v>
      </c>
      <c r="RW20" s="17">
        <v>0</v>
      </c>
      <c r="RX20" s="14">
        <v>20</v>
      </c>
      <c r="RY20" s="17">
        <v>5</v>
      </c>
      <c r="RZ20" s="14">
        <v>5</v>
      </c>
      <c r="SA20" s="17">
        <v>0</v>
      </c>
      <c r="SB20" s="14">
        <v>20</v>
      </c>
      <c r="SC20" s="17">
        <v>5</v>
      </c>
      <c r="SD20" s="14">
        <v>20</v>
      </c>
      <c r="SE20" s="17">
        <v>10</v>
      </c>
      <c r="SF20" s="14">
        <v>10</v>
      </c>
      <c r="SG20" s="17">
        <v>10</v>
      </c>
      <c r="SH20" s="14">
        <v>10</v>
      </c>
      <c r="SI20" s="17">
        <v>10</v>
      </c>
      <c r="SJ20" s="14">
        <v>0</v>
      </c>
      <c r="SK20" s="17">
        <v>20</v>
      </c>
      <c r="SL20" s="14">
        <v>20</v>
      </c>
      <c r="SM20" s="17">
        <v>10</v>
      </c>
      <c r="SN20" s="14">
        <v>5</v>
      </c>
      <c r="SO20" s="17">
        <v>0</v>
      </c>
      <c r="SP20" s="14">
        <v>5</v>
      </c>
      <c r="SQ20" s="17">
        <v>20</v>
      </c>
      <c r="SR20" s="14">
        <v>10</v>
      </c>
      <c r="SS20" s="17">
        <v>10</v>
      </c>
      <c r="ST20" s="14">
        <v>15</v>
      </c>
      <c r="SU20" s="17">
        <v>15</v>
      </c>
      <c r="SV20" s="14">
        <v>10</v>
      </c>
      <c r="SW20" s="17">
        <v>5</v>
      </c>
      <c r="SX20" s="14">
        <v>0</v>
      </c>
      <c r="SY20" s="17">
        <v>5</v>
      </c>
      <c r="SZ20" s="14">
        <v>5</v>
      </c>
      <c r="TA20" s="17">
        <v>20</v>
      </c>
      <c r="TB20" s="14">
        <v>5</v>
      </c>
      <c r="TC20" s="17">
        <v>5</v>
      </c>
      <c r="TD20" s="14">
        <v>20</v>
      </c>
      <c r="TE20" s="17">
        <v>20</v>
      </c>
      <c r="TF20" s="14">
        <v>20</v>
      </c>
      <c r="TG20" s="17">
        <v>20</v>
      </c>
      <c r="TH20" s="14">
        <v>20</v>
      </c>
      <c r="TI20" s="17">
        <v>0</v>
      </c>
      <c r="TJ20" s="14">
        <v>15</v>
      </c>
      <c r="TK20" s="17">
        <v>15</v>
      </c>
      <c r="TL20" s="14">
        <v>0</v>
      </c>
      <c r="TM20" s="17">
        <v>0</v>
      </c>
      <c r="TN20" s="14">
        <v>5</v>
      </c>
      <c r="TO20" s="17">
        <v>0</v>
      </c>
      <c r="TP20" s="14">
        <v>15</v>
      </c>
      <c r="TQ20" s="17">
        <v>10</v>
      </c>
      <c r="TR20" s="14">
        <v>10</v>
      </c>
      <c r="TS20" s="17">
        <v>10</v>
      </c>
      <c r="TT20" s="14">
        <v>5</v>
      </c>
      <c r="TU20" s="17">
        <v>15</v>
      </c>
      <c r="TV20" s="14">
        <v>20</v>
      </c>
      <c r="TW20" s="17">
        <v>20</v>
      </c>
      <c r="TX20" s="14">
        <v>10</v>
      </c>
      <c r="TY20" s="17">
        <v>5</v>
      </c>
      <c r="TZ20" s="14">
        <v>10</v>
      </c>
      <c r="UA20" s="17">
        <v>0</v>
      </c>
      <c r="UB20" s="14">
        <v>0</v>
      </c>
      <c r="UC20" s="17">
        <v>5</v>
      </c>
      <c r="UD20" s="14">
        <v>5</v>
      </c>
      <c r="UE20" s="17">
        <v>5</v>
      </c>
      <c r="UF20" s="14">
        <v>5</v>
      </c>
      <c r="UG20" s="17">
        <v>10</v>
      </c>
      <c r="UH20" s="14">
        <v>5</v>
      </c>
      <c r="UI20" s="17">
        <v>5</v>
      </c>
      <c r="UJ20" s="14">
        <v>5</v>
      </c>
      <c r="UK20" s="17">
        <v>0</v>
      </c>
      <c r="UL20" s="14">
        <v>15</v>
      </c>
      <c r="UM20" s="17">
        <v>0</v>
      </c>
      <c r="UN20" s="14">
        <v>0</v>
      </c>
      <c r="UO20" s="17">
        <v>0</v>
      </c>
      <c r="UP20" s="14">
        <v>15</v>
      </c>
      <c r="UQ20" s="17">
        <v>15</v>
      </c>
      <c r="UR20" s="14">
        <v>0</v>
      </c>
      <c r="US20" s="17">
        <v>5</v>
      </c>
      <c r="UT20" s="14">
        <v>0</v>
      </c>
      <c r="UU20" s="17">
        <v>0</v>
      </c>
      <c r="UV20" s="14">
        <v>20</v>
      </c>
      <c r="UW20" s="17">
        <v>20</v>
      </c>
      <c r="UX20" s="14">
        <v>0</v>
      </c>
      <c r="UY20" s="17">
        <v>15</v>
      </c>
      <c r="UZ20" s="14">
        <v>0</v>
      </c>
      <c r="VA20" s="17">
        <v>10</v>
      </c>
      <c r="VB20" s="14">
        <v>0</v>
      </c>
      <c r="VC20" s="17">
        <v>0</v>
      </c>
      <c r="VD20" s="14">
        <v>10</v>
      </c>
      <c r="VE20" s="17">
        <v>0</v>
      </c>
      <c r="VF20" s="14">
        <v>0</v>
      </c>
      <c r="VG20" s="17">
        <v>0</v>
      </c>
      <c r="VH20" s="14">
        <v>20</v>
      </c>
      <c r="VI20" s="17">
        <v>5</v>
      </c>
      <c r="VJ20" s="14">
        <v>20</v>
      </c>
      <c r="VK20" s="17">
        <v>5</v>
      </c>
      <c r="VL20" s="14">
        <v>5</v>
      </c>
      <c r="VM20" s="17">
        <v>10</v>
      </c>
      <c r="VN20" s="14">
        <v>0</v>
      </c>
      <c r="VO20" s="17">
        <v>0</v>
      </c>
      <c r="VP20" s="14">
        <v>5</v>
      </c>
      <c r="VQ20" s="17">
        <v>10</v>
      </c>
      <c r="VR20" s="14">
        <v>20</v>
      </c>
      <c r="VS20" s="17">
        <v>10</v>
      </c>
      <c r="VT20" s="14">
        <v>10</v>
      </c>
      <c r="VU20" s="17">
        <v>5</v>
      </c>
      <c r="VV20" s="14">
        <v>20</v>
      </c>
      <c r="VW20" s="17">
        <v>20</v>
      </c>
      <c r="VX20" s="14">
        <v>5</v>
      </c>
      <c r="VY20" s="17">
        <v>20</v>
      </c>
      <c r="VZ20" s="14">
        <v>20</v>
      </c>
      <c r="WA20" s="17">
        <v>0</v>
      </c>
      <c r="WB20" s="14">
        <v>0</v>
      </c>
      <c r="WC20" s="17">
        <v>20</v>
      </c>
      <c r="WD20" s="14">
        <v>0</v>
      </c>
      <c r="WE20" s="17">
        <v>20</v>
      </c>
      <c r="WF20" s="14">
        <v>5</v>
      </c>
      <c r="WG20" s="17">
        <v>5</v>
      </c>
      <c r="WH20" s="14">
        <v>10</v>
      </c>
      <c r="WI20" s="17">
        <v>5</v>
      </c>
      <c r="WJ20" s="14">
        <v>20</v>
      </c>
      <c r="WK20" s="17">
        <v>0</v>
      </c>
      <c r="WL20" s="14">
        <v>0</v>
      </c>
      <c r="WM20" s="17">
        <v>5</v>
      </c>
      <c r="WN20" s="14">
        <v>20</v>
      </c>
      <c r="WO20" s="17">
        <v>15</v>
      </c>
      <c r="WP20" s="14">
        <v>10</v>
      </c>
      <c r="WQ20" s="17">
        <v>20</v>
      </c>
      <c r="WR20" s="14">
        <v>5</v>
      </c>
      <c r="WS20" s="17">
        <v>15</v>
      </c>
      <c r="WT20" s="14">
        <v>0</v>
      </c>
      <c r="WU20" s="17">
        <v>5</v>
      </c>
      <c r="WV20" s="14">
        <v>10</v>
      </c>
      <c r="WW20" s="17">
        <v>15</v>
      </c>
      <c r="WX20" s="14">
        <v>15</v>
      </c>
      <c r="WY20" s="17">
        <v>5</v>
      </c>
      <c r="WZ20" s="14">
        <v>20</v>
      </c>
      <c r="XA20" s="17">
        <v>5</v>
      </c>
      <c r="XB20" s="14">
        <v>15</v>
      </c>
      <c r="XC20" s="17">
        <v>0</v>
      </c>
      <c r="XD20" s="14">
        <v>10</v>
      </c>
      <c r="XE20" s="17">
        <v>0</v>
      </c>
      <c r="XF20" s="14">
        <v>15</v>
      </c>
      <c r="XG20" s="17">
        <v>0</v>
      </c>
      <c r="XH20" s="14">
        <v>20</v>
      </c>
      <c r="XI20" s="17">
        <v>5</v>
      </c>
      <c r="XJ20" s="14">
        <v>15</v>
      </c>
      <c r="XK20" s="17">
        <v>10</v>
      </c>
      <c r="XL20" s="14">
        <v>10</v>
      </c>
      <c r="XM20" s="17">
        <v>20</v>
      </c>
      <c r="XN20" s="14">
        <v>0</v>
      </c>
      <c r="XO20" s="17">
        <v>0</v>
      </c>
      <c r="XP20" s="14">
        <v>10</v>
      </c>
      <c r="XQ20" s="17">
        <v>15</v>
      </c>
      <c r="XR20" s="14">
        <v>0</v>
      </c>
      <c r="XS20" s="17">
        <v>15</v>
      </c>
      <c r="XT20" s="14">
        <v>10</v>
      </c>
      <c r="XU20" s="17">
        <v>15</v>
      </c>
      <c r="XV20" s="14">
        <v>20</v>
      </c>
      <c r="XW20" s="17">
        <v>10</v>
      </c>
      <c r="XX20" s="14">
        <v>15</v>
      </c>
      <c r="XY20" s="17">
        <v>5</v>
      </c>
      <c r="XZ20" s="14">
        <v>20</v>
      </c>
      <c r="YA20" s="17">
        <v>15</v>
      </c>
      <c r="YB20" s="14">
        <v>10</v>
      </c>
      <c r="YC20" s="17">
        <v>15</v>
      </c>
      <c r="YD20" s="14">
        <v>5</v>
      </c>
      <c r="YE20" s="17">
        <v>0</v>
      </c>
      <c r="YF20" s="14">
        <v>15</v>
      </c>
      <c r="YG20" s="17">
        <v>10</v>
      </c>
      <c r="YH20" s="14">
        <v>5</v>
      </c>
      <c r="YI20" s="17">
        <v>0</v>
      </c>
      <c r="YJ20" s="14">
        <v>15</v>
      </c>
      <c r="YK20" s="17">
        <v>0</v>
      </c>
      <c r="YL20" s="14">
        <v>15</v>
      </c>
      <c r="YM20" s="17">
        <v>15</v>
      </c>
      <c r="YN20" s="14">
        <v>20</v>
      </c>
      <c r="YO20" s="17">
        <v>0</v>
      </c>
      <c r="YP20" s="14">
        <v>0</v>
      </c>
      <c r="YQ20" s="17">
        <v>5</v>
      </c>
      <c r="YR20" s="14">
        <v>15</v>
      </c>
      <c r="YS20" s="17">
        <v>15</v>
      </c>
      <c r="YT20" s="14">
        <v>20</v>
      </c>
      <c r="YU20" s="17">
        <v>0</v>
      </c>
      <c r="YV20" s="14">
        <v>5</v>
      </c>
      <c r="YW20" s="17">
        <v>0</v>
      </c>
      <c r="YX20" s="14">
        <v>10</v>
      </c>
      <c r="YY20" s="17">
        <v>5</v>
      </c>
      <c r="YZ20" s="14">
        <v>10</v>
      </c>
      <c r="ZA20" s="17">
        <v>5</v>
      </c>
      <c r="ZB20" s="14">
        <v>20</v>
      </c>
      <c r="ZC20" s="17">
        <v>15</v>
      </c>
      <c r="ZD20" s="14">
        <v>0</v>
      </c>
      <c r="ZE20" s="17">
        <v>5</v>
      </c>
      <c r="ZF20" s="14">
        <v>15</v>
      </c>
      <c r="ZG20" s="17">
        <v>15</v>
      </c>
      <c r="ZH20" s="14">
        <v>10</v>
      </c>
      <c r="ZI20" s="17">
        <v>20</v>
      </c>
      <c r="ZJ20" s="14">
        <v>20</v>
      </c>
      <c r="ZK20" s="17">
        <v>10</v>
      </c>
      <c r="ZL20" s="14">
        <v>15</v>
      </c>
      <c r="ZM20" s="17">
        <v>10</v>
      </c>
      <c r="ZN20" s="14">
        <v>15</v>
      </c>
      <c r="ZO20" s="17">
        <v>20</v>
      </c>
      <c r="ZP20" s="14">
        <v>15</v>
      </c>
      <c r="ZQ20" s="17">
        <v>15</v>
      </c>
      <c r="ZR20" s="14">
        <v>20</v>
      </c>
      <c r="ZS20" s="17">
        <v>10</v>
      </c>
      <c r="ZT20" s="14">
        <v>5</v>
      </c>
      <c r="ZU20" s="17">
        <v>15</v>
      </c>
      <c r="ZV20" s="14">
        <v>0</v>
      </c>
      <c r="ZW20" s="17">
        <v>0</v>
      </c>
      <c r="ZX20" s="14">
        <v>10</v>
      </c>
      <c r="ZY20" s="17">
        <v>15</v>
      </c>
      <c r="ZZ20" s="14">
        <v>15</v>
      </c>
      <c r="AAA20" s="17">
        <v>5</v>
      </c>
      <c r="AAB20" s="14">
        <v>5</v>
      </c>
      <c r="AAC20" s="17">
        <v>0</v>
      </c>
      <c r="AAD20" s="14">
        <v>0</v>
      </c>
      <c r="AAE20" s="17">
        <v>0</v>
      </c>
      <c r="AAF20" s="14">
        <v>0</v>
      </c>
      <c r="AAG20" s="17">
        <v>15</v>
      </c>
      <c r="AAH20" s="14">
        <v>0</v>
      </c>
      <c r="AAI20" s="17">
        <v>5</v>
      </c>
      <c r="AAJ20" s="14">
        <v>15</v>
      </c>
      <c r="AAK20" s="17">
        <v>20</v>
      </c>
      <c r="AAL20" s="14">
        <v>10</v>
      </c>
      <c r="AAM20" s="17">
        <v>5</v>
      </c>
      <c r="AAN20" s="14">
        <v>10</v>
      </c>
      <c r="AAO20" s="17">
        <v>20</v>
      </c>
      <c r="AAP20" s="14">
        <v>20</v>
      </c>
      <c r="AAQ20" s="17">
        <v>0</v>
      </c>
      <c r="AAR20" s="14">
        <v>0</v>
      </c>
      <c r="AAS20" s="17">
        <v>20</v>
      </c>
      <c r="AAT20" s="14">
        <v>15</v>
      </c>
      <c r="AAU20" s="17">
        <v>15</v>
      </c>
      <c r="AAV20" s="14">
        <v>5</v>
      </c>
      <c r="AAW20" s="17">
        <v>10</v>
      </c>
      <c r="AAX20" s="14">
        <v>15</v>
      </c>
      <c r="AAY20" s="17">
        <v>15</v>
      </c>
      <c r="AAZ20" s="14">
        <v>20</v>
      </c>
      <c r="ABA20" s="17">
        <v>10</v>
      </c>
      <c r="ABB20" s="14">
        <v>20</v>
      </c>
      <c r="ABC20" s="17">
        <v>10</v>
      </c>
      <c r="ABD20" s="14">
        <v>20</v>
      </c>
      <c r="ABE20" s="17">
        <v>20</v>
      </c>
      <c r="ABF20" s="14">
        <v>0</v>
      </c>
      <c r="ABG20" s="17">
        <v>0</v>
      </c>
      <c r="ABH20" s="14">
        <v>15</v>
      </c>
      <c r="ABI20" s="17">
        <v>0</v>
      </c>
      <c r="ABJ20" s="14">
        <v>15</v>
      </c>
      <c r="ABK20" s="17">
        <v>15</v>
      </c>
      <c r="ABL20" s="14">
        <v>10</v>
      </c>
      <c r="ABM20" s="17">
        <v>15</v>
      </c>
      <c r="ABN20" s="14">
        <v>15</v>
      </c>
      <c r="ABO20" s="17">
        <v>15</v>
      </c>
      <c r="ABP20" s="14">
        <v>0</v>
      </c>
      <c r="ABQ20" s="17">
        <v>0</v>
      </c>
      <c r="ABR20" s="14">
        <v>5</v>
      </c>
      <c r="ABS20" s="17">
        <v>20</v>
      </c>
      <c r="ABT20" s="14">
        <v>10</v>
      </c>
      <c r="ABU20" s="17">
        <v>5</v>
      </c>
      <c r="ABV20" s="14">
        <v>15</v>
      </c>
      <c r="ABW20" s="17">
        <v>15</v>
      </c>
      <c r="ABX20" s="14">
        <v>5</v>
      </c>
      <c r="ABY20" s="17">
        <v>10</v>
      </c>
      <c r="ABZ20" s="14">
        <v>15</v>
      </c>
      <c r="ACA20" s="17">
        <v>15</v>
      </c>
      <c r="ACB20" s="14">
        <v>0</v>
      </c>
      <c r="ACC20" s="17">
        <v>20</v>
      </c>
      <c r="ACD20" s="14">
        <v>15</v>
      </c>
      <c r="ACE20" s="17">
        <v>20</v>
      </c>
      <c r="ACF20" s="14">
        <v>20</v>
      </c>
      <c r="ACG20" s="17">
        <v>20</v>
      </c>
      <c r="ACH20" s="14">
        <v>15</v>
      </c>
      <c r="ACI20" s="17">
        <v>15</v>
      </c>
      <c r="ACJ20" s="14">
        <v>20</v>
      </c>
      <c r="ACK20" s="17">
        <v>5</v>
      </c>
      <c r="ACL20" s="14">
        <v>20</v>
      </c>
      <c r="ACM20" s="17">
        <v>0</v>
      </c>
      <c r="ACN20" s="14">
        <v>15</v>
      </c>
      <c r="ACO20" s="17">
        <v>10</v>
      </c>
      <c r="ACP20" s="14">
        <v>15</v>
      </c>
      <c r="ACQ20" s="17">
        <v>20</v>
      </c>
      <c r="ACR20" s="14">
        <v>15</v>
      </c>
      <c r="ACS20" s="17">
        <v>20</v>
      </c>
      <c r="ACT20" s="14">
        <v>10</v>
      </c>
      <c r="ACU20" s="17">
        <v>10</v>
      </c>
      <c r="ACV20" s="14">
        <v>10</v>
      </c>
      <c r="ACW20" s="17">
        <v>0</v>
      </c>
      <c r="ACX20" s="14">
        <v>0</v>
      </c>
      <c r="ACY20" s="17">
        <v>20</v>
      </c>
      <c r="ACZ20" s="14">
        <v>0</v>
      </c>
      <c r="ADA20" s="17">
        <v>5</v>
      </c>
      <c r="ADB20" s="14">
        <v>10</v>
      </c>
      <c r="ADC20" s="17">
        <v>10</v>
      </c>
      <c r="ADD20" s="14">
        <v>20</v>
      </c>
      <c r="ADE20" s="17">
        <v>0</v>
      </c>
      <c r="ADF20" s="14">
        <v>10</v>
      </c>
      <c r="ADG20" s="17">
        <v>15</v>
      </c>
      <c r="ADH20" s="14">
        <v>0</v>
      </c>
      <c r="ADI20" s="17">
        <v>15</v>
      </c>
      <c r="ADJ20" s="14">
        <v>10</v>
      </c>
      <c r="ADK20" s="17">
        <v>10</v>
      </c>
      <c r="ADL20" s="14">
        <v>15</v>
      </c>
      <c r="ADM20" s="17">
        <v>10</v>
      </c>
      <c r="ADN20" s="14">
        <v>0</v>
      </c>
      <c r="ADO20" s="17">
        <v>5</v>
      </c>
      <c r="ADP20" s="14">
        <v>5</v>
      </c>
      <c r="ADQ20" s="17">
        <v>5</v>
      </c>
      <c r="ADR20" s="14">
        <v>10</v>
      </c>
      <c r="ADS20" s="17">
        <v>20</v>
      </c>
      <c r="ADT20" s="14">
        <v>0</v>
      </c>
      <c r="ADU20" s="17">
        <v>0</v>
      </c>
      <c r="ADV20" s="14">
        <v>10</v>
      </c>
      <c r="ADW20" s="17">
        <v>0</v>
      </c>
      <c r="ADX20" s="14">
        <v>10</v>
      </c>
      <c r="ADY20" s="17">
        <v>5</v>
      </c>
      <c r="ADZ20" s="14">
        <v>0</v>
      </c>
      <c r="AEA20" s="17">
        <v>20</v>
      </c>
      <c r="AEB20" s="14">
        <v>10</v>
      </c>
      <c r="AEC20" s="17">
        <v>0</v>
      </c>
      <c r="AED20" s="14">
        <v>15</v>
      </c>
      <c r="AEE20" s="17">
        <v>15</v>
      </c>
      <c r="AEF20" s="14">
        <v>20</v>
      </c>
      <c r="AEG20" s="17">
        <v>20</v>
      </c>
      <c r="AEH20" s="14">
        <v>15</v>
      </c>
      <c r="AEI20" s="17">
        <v>10</v>
      </c>
      <c r="AEJ20" s="14">
        <v>0</v>
      </c>
      <c r="AEK20" s="17">
        <v>15</v>
      </c>
      <c r="AEL20" s="14">
        <v>20</v>
      </c>
      <c r="AEM20" s="17">
        <v>0</v>
      </c>
      <c r="AEN20" s="14">
        <v>10</v>
      </c>
      <c r="AEO20" s="17">
        <v>15</v>
      </c>
      <c r="AEP20" s="14">
        <v>20</v>
      </c>
      <c r="AEQ20" s="17">
        <v>15</v>
      </c>
      <c r="AER20" s="14">
        <v>10</v>
      </c>
      <c r="AES20" s="17">
        <v>20</v>
      </c>
      <c r="AET20" s="14">
        <v>0</v>
      </c>
      <c r="AEU20" s="17">
        <v>15</v>
      </c>
      <c r="AEV20" s="14">
        <v>0</v>
      </c>
      <c r="AEW20" s="17">
        <v>5</v>
      </c>
      <c r="AEX20" s="14">
        <v>10</v>
      </c>
      <c r="AEY20" s="17">
        <v>15</v>
      </c>
      <c r="AEZ20" s="14">
        <v>20</v>
      </c>
      <c r="AFA20" s="17">
        <v>10</v>
      </c>
      <c r="AFB20" s="14">
        <v>5</v>
      </c>
      <c r="AFC20" s="17">
        <v>20</v>
      </c>
      <c r="AFD20" s="14">
        <v>10</v>
      </c>
      <c r="AFE20" s="17">
        <v>10</v>
      </c>
      <c r="AFF20" s="14">
        <v>15</v>
      </c>
      <c r="AFG20" s="17">
        <v>5</v>
      </c>
      <c r="AFH20" s="14">
        <v>15</v>
      </c>
      <c r="AFI20" s="17">
        <v>0</v>
      </c>
      <c r="AFJ20" s="14">
        <v>20</v>
      </c>
      <c r="AFK20" s="17">
        <v>5</v>
      </c>
      <c r="AFL20" s="14">
        <v>10</v>
      </c>
      <c r="AFM20" s="17">
        <v>10</v>
      </c>
      <c r="AFN20" s="14">
        <v>0</v>
      </c>
      <c r="AFO20" s="17">
        <v>10</v>
      </c>
      <c r="AFP20" s="14">
        <v>20</v>
      </c>
      <c r="AFQ20" s="17">
        <v>15</v>
      </c>
      <c r="AFR20" s="14">
        <v>5</v>
      </c>
      <c r="AFS20" s="17">
        <v>20</v>
      </c>
      <c r="AFT20" s="14">
        <v>0</v>
      </c>
      <c r="AFU20" s="17">
        <v>20</v>
      </c>
      <c r="AFV20" s="14">
        <v>0</v>
      </c>
      <c r="AFW20" s="17">
        <v>20</v>
      </c>
      <c r="AFX20" s="14">
        <v>10</v>
      </c>
      <c r="AFY20" s="17">
        <v>10</v>
      </c>
      <c r="AFZ20" s="14">
        <v>0</v>
      </c>
      <c r="AGA20" s="17">
        <v>20</v>
      </c>
      <c r="AGB20" s="14">
        <v>20</v>
      </c>
      <c r="AGC20" s="17">
        <v>15</v>
      </c>
      <c r="AGD20" s="14">
        <v>15</v>
      </c>
      <c r="AGE20" s="17">
        <v>5</v>
      </c>
      <c r="AGF20" s="14">
        <v>10</v>
      </c>
      <c r="AGG20" s="17">
        <v>0</v>
      </c>
      <c r="AGH20" s="14">
        <v>10</v>
      </c>
      <c r="AGI20" s="17">
        <v>20</v>
      </c>
      <c r="AGJ20" s="14">
        <v>10</v>
      </c>
      <c r="AGK20" s="17">
        <v>15</v>
      </c>
      <c r="AGL20" s="14">
        <v>20</v>
      </c>
      <c r="AGM20" s="17">
        <v>10</v>
      </c>
      <c r="AGN20" s="14">
        <v>5</v>
      </c>
      <c r="AGO20" s="17">
        <v>15</v>
      </c>
      <c r="AGP20" s="14">
        <v>15</v>
      </c>
      <c r="AGQ20" s="17">
        <v>10</v>
      </c>
      <c r="AGR20" s="14">
        <v>20</v>
      </c>
      <c r="AGS20" s="17">
        <v>20</v>
      </c>
      <c r="AGT20" s="14">
        <v>15</v>
      </c>
      <c r="AGU20" s="17">
        <v>20</v>
      </c>
      <c r="AGV20" s="14">
        <v>5</v>
      </c>
      <c r="AGW20" s="17">
        <v>0</v>
      </c>
      <c r="AGX20" s="14">
        <v>20</v>
      </c>
      <c r="AGY20" s="17">
        <v>5</v>
      </c>
      <c r="AGZ20" s="14">
        <v>20</v>
      </c>
      <c r="AHA20" s="17">
        <v>15</v>
      </c>
      <c r="AHB20" s="14">
        <v>5</v>
      </c>
      <c r="AHC20" s="17">
        <v>15</v>
      </c>
      <c r="AHD20" s="14">
        <v>10</v>
      </c>
      <c r="AHE20" s="17">
        <v>20</v>
      </c>
      <c r="AHF20" s="14">
        <v>20</v>
      </c>
      <c r="AHG20" s="17">
        <v>15</v>
      </c>
      <c r="AHH20" s="14">
        <v>20</v>
      </c>
      <c r="AHI20" s="17">
        <v>0</v>
      </c>
      <c r="AHJ20" s="14">
        <v>20</v>
      </c>
      <c r="AHK20" s="17">
        <v>5</v>
      </c>
      <c r="AHL20" s="14">
        <v>10</v>
      </c>
      <c r="AHM20" s="17">
        <v>15</v>
      </c>
      <c r="AHN20" s="14">
        <v>5</v>
      </c>
      <c r="AHO20" s="17">
        <v>5</v>
      </c>
      <c r="AHP20" s="14">
        <v>5</v>
      </c>
      <c r="AHQ20" s="17">
        <v>10</v>
      </c>
      <c r="AHR20" s="14">
        <v>15</v>
      </c>
      <c r="AHS20" s="17">
        <v>15</v>
      </c>
      <c r="AHT20" s="14">
        <v>10</v>
      </c>
      <c r="AHU20" s="17">
        <v>0</v>
      </c>
      <c r="AHV20" s="14">
        <v>5</v>
      </c>
      <c r="AHW20" s="17">
        <v>15</v>
      </c>
      <c r="AHX20" s="14">
        <v>10</v>
      </c>
      <c r="AHY20" s="17">
        <v>10</v>
      </c>
      <c r="AHZ20" s="14">
        <v>5</v>
      </c>
      <c r="AIA20" s="17">
        <v>10</v>
      </c>
      <c r="AIB20" s="14">
        <v>20</v>
      </c>
      <c r="AIC20" s="17">
        <v>5</v>
      </c>
      <c r="AID20" s="14">
        <v>15</v>
      </c>
      <c r="AIE20" s="17">
        <v>5</v>
      </c>
      <c r="AIF20" s="14">
        <v>0</v>
      </c>
      <c r="AIG20" s="17">
        <v>5</v>
      </c>
      <c r="AIH20" s="14">
        <v>5</v>
      </c>
      <c r="AII20" s="17">
        <v>0</v>
      </c>
      <c r="AIJ20" s="14">
        <v>5</v>
      </c>
      <c r="AIK20" s="17">
        <v>10</v>
      </c>
      <c r="AIL20" s="14">
        <v>15</v>
      </c>
      <c r="AIM20" s="17">
        <v>15</v>
      </c>
      <c r="AIN20" s="14">
        <v>20</v>
      </c>
      <c r="AIO20" s="17">
        <v>15</v>
      </c>
      <c r="AIP20" s="14">
        <v>15</v>
      </c>
      <c r="AIQ20" s="17">
        <v>0</v>
      </c>
      <c r="AIR20" s="14">
        <v>5</v>
      </c>
      <c r="AIS20" s="17">
        <v>5</v>
      </c>
      <c r="AIT20" s="14">
        <v>10</v>
      </c>
      <c r="AIU20" s="17">
        <v>5</v>
      </c>
      <c r="AIV20" s="14">
        <v>0</v>
      </c>
      <c r="AIW20" s="17">
        <v>10</v>
      </c>
      <c r="AIX20" s="14">
        <v>10</v>
      </c>
      <c r="AIY20" s="17">
        <v>20</v>
      </c>
      <c r="AIZ20" s="14">
        <v>5</v>
      </c>
      <c r="AJA20" s="17">
        <v>0</v>
      </c>
      <c r="AJB20" s="14">
        <v>15</v>
      </c>
      <c r="AJC20" s="17">
        <v>0</v>
      </c>
      <c r="AJD20" s="14">
        <v>0</v>
      </c>
      <c r="AJE20" s="17">
        <v>0</v>
      </c>
      <c r="AJF20" s="14">
        <v>10</v>
      </c>
      <c r="AJG20" s="17">
        <v>20</v>
      </c>
      <c r="AJH20" s="14">
        <v>10</v>
      </c>
      <c r="AJI20" s="17">
        <v>0</v>
      </c>
      <c r="AJJ20" s="14">
        <v>15</v>
      </c>
      <c r="AJK20" s="17">
        <v>10</v>
      </c>
      <c r="AJL20" s="14">
        <v>0</v>
      </c>
      <c r="AJM20" s="17">
        <v>15</v>
      </c>
      <c r="AJN20" s="14">
        <v>5</v>
      </c>
      <c r="AJO20" s="17">
        <v>5</v>
      </c>
      <c r="AJP20" s="14">
        <v>0</v>
      </c>
      <c r="AJQ20" s="17">
        <v>20</v>
      </c>
      <c r="AJR20" s="14">
        <v>20</v>
      </c>
      <c r="AJS20" s="17">
        <v>0</v>
      </c>
      <c r="AJT20" s="14">
        <v>20</v>
      </c>
      <c r="AJU20" s="17">
        <v>20</v>
      </c>
      <c r="AJV20" s="14">
        <v>20</v>
      </c>
      <c r="AJW20" s="17">
        <v>10</v>
      </c>
      <c r="AJX20" s="14">
        <v>15</v>
      </c>
      <c r="AJY20" s="17">
        <v>0</v>
      </c>
      <c r="AJZ20" s="14">
        <v>5</v>
      </c>
      <c r="AKA20" s="17">
        <v>20</v>
      </c>
      <c r="AKB20" s="14">
        <v>0</v>
      </c>
      <c r="AKC20" s="17">
        <v>10</v>
      </c>
      <c r="AKD20" s="14">
        <v>10</v>
      </c>
      <c r="AKE20" s="17">
        <v>20</v>
      </c>
      <c r="AKF20" s="14">
        <v>15</v>
      </c>
      <c r="AKG20" s="17">
        <v>5</v>
      </c>
      <c r="AKH20" s="14">
        <v>15</v>
      </c>
      <c r="AKI20" s="17">
        <v>5</v>
      </c>
      <c r="AKJ20" s="14">
        <v>5</v>
      </c>
      <c r="AKK20" s="17">
        <v>0</v>
      </c>
      <c r="AKL20" s="14">
        <v>5</v>
      </c>
      <c r="AKM20" s="17">
        <v>5</v>
      </c>
      <c r="AKN20" s="14">
        <v>10</v>
      </c>
      <c r="AKO20" s="17">
        <v>15</v>
      </c>
      <c r="AKP20" s="14">
        <v>15</v>
      </c>
      <c r="AKQ20" s="17">
        <v>10</v>
      </c>
      <c r="AKR20" s="14">
        <v>20</v>
      </c>
      <c r="AKS20" s="17">
        <v>0</v>
      </c>
      <c r="AKT20" s="14">
        <v>15</v>
      </c>
      <c r="AKU20" s="17">
        <v>20</v>
      </c>
      <c r="AKV20" s="14">
        <v>10</v>
      </c>
      <c r="AKW20" s="17">
        <v>0</v>
      </c>
      <c r="AKX20" s="14">
        <v>10</v>
      </c>
      <c r="AKY20" s="17">
        <v>20</v>
      </c>
      <c r="AKZ20" s="14">
        <v>15</v>
      </c>
      <c r="ALA20" s="17">
        <v>15</v>
      </c>
      <c r="ALB20" s="14">
        <v>5</v>
      </c>
      <c r="ALC20" s="17">
        <v>10</v>
      </c>
      <c r="ALD20" s="14">
        <v>5</v>
      </c>
      <c r="ALE20" s="17">
        <v>10</v>
      </c>
      <c r="ALF20" s="14">
        <v>15</v>
      </c>
      <c r="ALG20" s="17">
        <v>10</v>
      </c>
      <c r="ALH20" s="14">
        <v>10</v>
      </c>
      <c r="ALI20" s="17">
        <v>0</v>
      </c>
      <c r="ALJ20" s="14">
        <v>20</v>
      </c>
      <c r="ALK20" s="17">
        <v>0</v>
      </c>
      <c r="ALL20" s="14">
        <v>0</v>
      </c>
      <c r="ALM20" s="17">
        <v>5</v>
      </c>
      <c r="ALN20" s="14">
        <v>10</v>
      </c>
      <c r="ALO20" s="17">
        <v>20</v>
      </c>
      <c r="ALP20" s="14">
        <v>15</v>
      </c>
      <c r="ALQ20" s="17">
        <v>10</v>
      </c>
      <c r="ALR20" s="14">
        <v>10</v>
      </c>
      <c r="ALS20" s="17">
        <v>0</v>
      </c>
      <c r="ALT20" s="14">
        <v>20</v>
      </c>
      <c r="ALU20" s="17">
        <v>5</v>
      </c>
      <c r="ALV20" s="14">
        <v>15</v>
      </c>
      <c r="ALW20" s="17">
        <v>15</v>
      </c>
      <c r="ALX20" s="14">
        <v>0</v>
      </c>
      <c r="ALY20" s="21">
        <v>15</v>
      </c>
    </row>
    <row r="21" spans="1:1013" x14ac:dyDescent="0.25">
      <c r="A21" t="s">
        <v>29</v>
      </c>
      <c r="B21" s="1">
        <v>45235</v>
      </c>
      <c r="C21" t="s">
        <v>1011</v>
      </c>
      <c r="D21" t="s">
        <v>1020</v>
      </c>
      <c r="E21" t="s">
        <v>1025</v>
      </c>
      <c r="F21" t="s">
        <v>1034</v>
      </c>
      <c r="G21">
        <v>8</v>
      </c>
      <c r="H21">
        <v>28116</v>
      </c>
      <c r="I21">
        <v>10</v>
      </c>
      <c r="J21" t="s">
        <v>1037</v>
      </c>
      <c r="K21">
        <v>202435.20000000001</v>
      </c>
      <c r="N21" s="14" t="s">
        <v>1035</v>
      </c>
      <c r="O21" s="17" t="s">
        <v>1035</v>
      </c>
      <c r="P21" s="14" t="s">
        <v>1036</v>
      </c>
      <c r="Q21" s="17" t="s">
        <v>1037</v>
      </c>
      <c r="R21" s="14" t="s">
        <v>1035</v>
      </c>
      <c r="S21" s="17" t="s">
        <v>1037</v>
      </c>
      <c r="T21" s="14" t="s">
        <v>1037</v>
      </c>
      <c r="U21" s="17" t="s">
        <v>1038</v>
      </c>
      <c r="V21" s="14" t="s">
        <v>1035</v>
      </c>
      <c r="W21" s="17" t="s">
        <v>1038</v>
      </c>
      <c r="X21" s="14" t="s">
        <v>1036</v>
      </c>
      <c r="Y21" s="17" t="s">
        <v>1035</v>
      </c>
      <c r="Z21" s="14" t="s">
        <v>1036</v>
      </c>
      <c r="AA21" s="17" t="s">
        <v>1038</v>
      </c>
      <c r="AB21" s="14" t="s">
        <v>1038</v>
      </c>
      <c r="AC21" s="17" t="s">
        <v>1038</v>
      </c>
      <c r="AD21" s="14" t="s">
        <v>1035</v>
      </c>
      <c r="AE21" s="17" t="s">
        <v>1038</v>
      </c>
      <c r="AF21" s="14" t="s">
        <v>1036</v>
      </c>
      <c r="AG21" s="17" t="s">
        <v>1037</v>
      </c>
      <c r="AH21" s="14" t="s">
        <v>1035</v>
      </c>
      <c r="AI21" s="17" t="s">
        <v>1039</v>
      </c>
      <c r="AJ21" s="14" t="s">
        <v>1036</v>
      </c>
      <c r="AK21" s="17" t="s">
        <v>1035</v>
      </c>
      <c r="AL21" s="14" t="s">
        <v>1038</v>
      </c>
      <c r="AM21" s="17" t="s">
        <v>1039</v>
      </c>
      <c r="AN21" s="14" t="s">
        <v>1039</v>
      </c>
      <c r="AO21" s="17" t="s">
        <v>1035</v>
      </c>
      <c r="AP21" s="14" t="s">
        <v>1038</v>
      </c>
      <c r="AQ21" s="17" t="s">
        <v>1036</v>
      </c>
      <c r="AR21" s="14" t="s">
        <v>1036</v>
      </c>
      <c r="AS21" s="17" t="s">
        <v>1037</v>
      </c>
      <c r="AT21" s="14" t="s">
        <v>1038</v>
      </c>
      <c r="AU21" s="17" t="s">
        <v>1037</v>
      </c>
      <c r="AV21" s="14" t="s">
        <v>1036</v>
      </c>
      <c r="AW21" s="17" t="s">
        <v>1038</v>
      </c>
      <c r="AX21" s="14" t="s">
        <v>1037</v>
      </c>
      <c r="AY21" s="17" t="s">
        <v>1035</v>
      </c>
      <c r="AZ21" s="14" t="s">
        <v>1035</v>
      </c>
      <c r="BA21" s="17" t="s">
        <v>1039</v>
      </c>
      <c r="BB21" s="14" t="s">
        <v>1036</v>
      </c>
      <c r="BC21" s="17" t="s">
        <v>1036</v>
      </c>
      <c r="BD21" s="14" t="s">
        <v>1037</v>
      </c>
      <c r="BE21" s="17" t="s">
        <v>1037</v>
      </c>
      <c r="BF21" s="14" t="s">
        <v>1039</v>
      </c>
      <c r="BG21" s="17" t="s">
        <v>1037</v>
      </c>
      <c r="BH21" s="14" t="s">
        <v>1039</v>
      </c>
      <c r="BI21" s="17" t="s">
        <v>1038</v>
      </c>
      <c r="BJ21" s="14" t="s">
        <v>1035</v>
      </c>
      <c r="BK21" s="17" t="s">
        <v>1038</v>
      </c>
      <c r="BL21" s="14" t="s">
        <v>1038</v>
      </c>
      <c r="BM21" s="17" t="s">
        <v>1037</v>
      </c>
      <c r="BN21" s="14" t="s">
        <v>1035</v>
      </c>
      <c r="BO21" s="17" t="s">
        <v>1037</v>
      </c>
      <c r="BP21" s="14" t="s">
        <v>1039</v>
      </c>
      <c r="BQ21" s="17" t="s">
        <v>1035</v>
      </c>
      <c r="BR21" s="14" t="s">
        <v>1035</v>
      </c>
      <c r="BS21" s="17" t="s">
        <v>1037</v>
      </c>
      <c r="BT21" s="14" t="s">
        <v>1036</v>
      </c>
      <c r="BU21" s="17" t="s">
        <v>1038</v>
      </c>
      <c r="BV21" s="14" t="s">
        <v>1035</v>
      </c>
      <c r="BW21" s="17" t="s">
        <v>1037</v>
      </c>
      <c r="BX21" s="14" t="s">
        <v>1038</v>
      </c>
      <c r="BY21" s="17" t="s">
        <v>1038</v>
      </c>
      <c r="BZ21" s="14" t="s">
        <v>1039</v>
      </c>
      <c r="CA21" s="17" t="s">
        <v>1037</v>
      </c>
      <c r="CB21" s="14" t="s">
        <v>1036</v>
      </c>
      <c r="CC21" s="17" t="s">
        <v>1036</v>
      </c>
      <c r="CD21" s="14" t="s">
        <v>1039</v>
      </c>
      <c r="CE21" s="17" t="s">
        <v>1039</v>
      </c>
      <c r="CF21" s="14" t="s">
        <v>1037</v>
      </c>
      <c r="CG21" s="17" t="s">
        <v>1036</v>
      </c>
      <c r="CH21" s="14" t="s">
        <v>1038</v>
      </c>
      <c r="CI21" s="17" t="s">
        <v>1037</v>
      </c>
      <c r="CJ21" s="14" t="s">
        <v>1035</v>
      </c>
      <c r="CK21" s="17" t="s">
        <v>1037</v>
      </c>
      <c r="CL21" s="14" t="s">
        <v>1036</v>
      </c>
      <c r="CM21" s="17" t="s">
        <v>1038</v>
      </c>
      <c r="CN21" s="14" t="s">
        <v>1039</v>
      </c>
      <c r="CO21" s="17" t="s">
        <v>1038</v>
      </c>
      <c r="CP21" s="14" t="s">
        <v>1039</v>
      </c>
      <c r="CQ21" s="17" t="s">
        <v>1035</v>
      </c>
      <c r="CR21" s="14" t="s">
        <v>1037</v>
      </c>
      <c r="CS21" s="17" t="s">
        <v>1036</v>
      </c>
      <c r="CT21" s="14" t="s">
        <v>1035</v>
      </c>
      <c r="CU21" s="17" t="s">
        <v>1037</v>
      </c>
      <c r="CV21" s="14" t="s">
        <v>1039</v>
      </c>
      <c r="CW21" s="17" t="s">
        <v>1036</v>
      </c>
      <c r="CX21" s="14" t="s">
        <v>1036</v>
      </c>
      <c r="CY21" s="17" t="s">
        <v>1039</v>
      </c>
      <c r="CZ21" s="14" t="s">
        <v>1038</v>
      </c>
      <c r="DA21" s="17" t="s">
        <v>1038</v>
      </c>
      <c r="DB21" s="14" t="s">
        <v>1038</v>
      </c>
      <c r="DC21" s="17" t="s">
        <v>1036</v>
      </c>
      <c r="DD21" s="14" t="s">
        <v>1037</v>
      </c>
      <c r="DE21" s="17" t="s">
        <v>1037</v>
      </c>
      <c r="DF21" s="14" t="s">
        <v>1037</v>
      </c>
      <c r="DG21" s="17" t="s">
        <v>1035</v>
      </c>
      <c r="DH21" s="14" t="s">
        <v>1035</v>
      </c>
      <c r="DI21" s="17" t="s">
        <v>1038</v>
      </c>
      <c r="DJ21" s="14" t="s">
        <v>1038</v>
      </c>
      <c r="DK21" s="17" t="s">
        <v>1037</v>
      </c>
      <c r="DL21" s="14" t="s">
        <v>1038</v>
      </c>
      <c r="DM21" s="17" t="s">
        <v>1037</v>
      </c>
      <c r="DN21" s="14" t="s">
        <v>1039</v>
      </c>
      <c r="DO21" s="17" t="s">
        <v>1037</v>
      </c>
      <c r="DP21" s="14" t="s">
        <v>1035</v>
      </c>
      <c r="DQ21" s="17" t="s">
        <v>1037</v>
      </c>
      <c r="DR21" s="14" t="s">
        <v>1038</v>
      </c>
      <c r="DS21" s="17" t="s">
        <v>1037</v>
      </c>
      <c r="DT21" s="14" t="s">
        <v>1038</v>
      </c>
      <c r="DU21" s="17" t="s">
        <v>1037</v>
      </c>
      <c r="DV21" s="14" t="s">
        <v>1036</v>
      </c>
      <c r="DW21" s="17" t="s">
        <v>1035</v>
      </c>
      <c r="DX21" s="14" t="s">
        <v>1035</v>
      </c>
      <c r="DY21" s="17" t="s">
        <v>1037</v>
      </c>
      <c r="DZ21" s="14" t="s">
        <v>1039</v>
      </c>
      <c r="EA21" s="17" t="s">
        <v>1038</v>
      </c>
      <c r="EB21" s="14" t="s">
        <v>1037</v>
      </c>
      <c r="EC21" s="17" t="s">
        <v>1035</v>
      </c>
      <c r="ED21" s="14" t="s">
        <v>1039</v>
      </c>
      <c r="EE21" s="17" t="s">
        <v>1038</v>
      </c>
      <c r="EF21" s="14" t="s">
        <v>1036</v>
      </c>
      <c r="EG21" s="17" t="s">
        <v>1036</v>
      </c>
      <c r="EH21" s="14" t="s">
        <v>1038</v>
      </c>
      <c r="EI21" s="17" t="s">
        <v>1037</v>
      </c>
      <c r="EJ21" s="14" t="s">
        <v>1035</v>
      </c>
      <c r="EK21" s="17" t="s">
        <v>1038</v>
      </c>
      <c r="EL21" s="14" t="s">
        <v>1037</v>
      </c>
      <c r="EM21" s="17" t="s">
        <v>1038</v>
      </c>
      <c r="EN21" s="14" t="s">
        <v>1038</v>
      </c>
      <c r="EO21" s="17" t="s">
        <v>1039</v>
      </c>
      <c r="EP21" s="14" t="s">
        <v>1035</v>
      </c>
      <c r="EQ21" s="17" t="s">
        <v>1036</v>
      </c>
      <c r="ER21" s="14" t="s">
        <v>1036</v>
      </c>
      <c r="ES21" s="17" t="s">
        <v>1039</v>
      </c>
      <c r="ET21" s="14" t="s">
        <v>1036</v>
      </c>
      <c r="EU21" s="17" t="s">
        <v>1036</v>
      </c>
      <c r="EV21" s="14" t="s">
        <v>1035</v>
      </c>
      <c r="EW21" s="17" t="s">
        <v>1037</v>
      </c>
      <c r="EX21" s="14" t="s">
        <v>1038</v>
      </c>
      <c r="EY21" s="17" t="s">
        <v>1035</v>
      </c>
      <c r="EZ21" s="14" t="s">
        <v>1039</v>
      </c>
      <c r="FA21" s="17" t="s">
        <v>1039</v>
      </c>
      <c r="FB21" s="14" t="s">
        <v>1036</v>
      </c>
      <c r="FC21" s="17" t="s">
        <v>1036</v>
      </c>
      <c r="FD21" s="14" t="s">
        <v>1035</v>
      </c>
      <c r="FE21" s="17" t="s">
        <v>1039</v>
      </c>
      <c r="FF21" s="14" t="s">
        <v>1039</v>
      </c>
      <c r="FG21" s="17" t="s">
        <v>1038</v>
      </c>
      <c r="FH21" s="14" t="s">
        <v>1035</v>
      </c>
      <c r="FI21" s="17" t="s">
        <v>1038</v>
      </c>
      <c r="FJ21" s="14" t="s">
        <v>1035</v>
      </c>
      <c r="FK21" s="17" t="s">
        <v>1037</v>
      </c>
      <c r="FL21" s="14" t="s">
        <v>1039</v>
      </c>
      <c r="FM21" s="17" t="s">
        <v>1036</v>
      </c>
      <c r="FN21" s="14" t="s">
        <v>1039</v>
      </c>
      <c r="FO21" s="17" t="s">
        <v>1037</v>
      </c>
      <c r="FP21" s="14" t="s">
        <v>1035</v>
      </c>
      <c r="FQ21" s="17" t="s">
        <v>1037</v>
      </c>
      <c r="FR21" s="14" t="s">
        <v>1039</v>
      </c>
      <c r="FS21" s="17" t="s">
        <v>1038</v>
      </c>
      <c r="FT21" s="14" t="s">
        <v>1035</v>
      </c>
      <c r="FU21" s="17" t="s">
        <v>1038</v>
      </c>
      <c r="FV21" s="14" t="s">
        <v>1037</v>
      </c>
      <c r="FW21" s="17" t="s">
        <v>1036</v>
      </c>
      <c r="FX21" s="14" t="s">
        <v>1035</v>
      </c>
      <c r="FY21" s="17" t="s">
        <v>1039</v>
      </c>
      <c r="FZ21" s="14" t="s">
        <v>1038</v>
      </c>
      <c r="GA21" s="17" t="s">
        <v>1037</v>
      </c>
      <c r="GB21" s="14" t="s">
        <v>1035</v>
      </c>
      <c r="GC21" s="17" t="s">
        <v>1036</v>
      </c>
      <c r="GD21" s="14" t="s">
        <v>1035</v>
      </c>
      <c r="GE21" s="17" t="s">
        <v>1036</v>
      </c>
      <c r="GF21" s="14" t="s">
        <v>1037</v>
      </c>
      <c r="GG21" s="17" t="s">
        <v>1038</v>
      </c>
      <c r="GH21" s="14" t="s">
        <v>1035</v>
      </c>
      <c r="GI21" s="17" t="s">
        <v>1035</v>
      </c>
      <c r="GJ21" s="14" t="s">
        <v>1038</v>
      </c>
      <c r="GK21" s="17" t="s">
        <v>1035</v>
      </c>
      <c r="GL21" s="14" t="s">
        <v>1035</v>
      </c>
      <c r="GM21" s="17" t="s">
        <v>1039</v>
      </c>
      <c r="GN21" s="14" t="s">
        <v>1035</v>
      </c>
      <c r="GO21" s="17" t="s">
        <v>1039</v>
      </c>
      <c r="GP21" s="14" t="s">
        <v>1035</v>
      </c>
      <c r="GQ21" s="17" t="s">
        <v>1038</v>
      </c>
      <c r="GR21" s="14" t="s">
        <v>1037</v>
      </c>
      <c r="GS21" s="17" t="s">
        <v>1035</v>
      </c>
      <c r="GT21" s="14" t="s">
        <v>1038</v>
      </c>
      <c r="GU21" s="17" t="s">
        <v>1037</v>
      </c>
      <c r="GV21" s="14" t="s">
        <v>1039</v>
      </c>
      <c r="GW21" s="17" t="s">
        <v>1038</v>
      </c>
      <c r="GX21" s="14" t="s">
        <v>1036</v>
      </c>
      <c r="GY21" s="17" t="s">
        <v>1037</v>
      </c>
      <c r="GZ21" s="14" t="s">
        <v>1037</v>
      </c>
      <c r="HA21" s="17" t="s">
        <v>1036</v>
      </c>
      <c r="HB21" s="14" t="s">
        <v>1037</v>
      </c>
      <c r="HC21" s="17" t="s">
        <v>1037</v>
      </c>
      <c r="HD21" s="14" t="s">
        <v>1036</v>
      </c>
      <c r="HE21" s="17" t="s">
        <v>1038</v>
      </c>
      <c r="HF21" s="14" t="s">
        <v>1035</v>
      </c>
      <c r="HG21" s="17" t="s">
        <v>1037</v>
      </c>
      <c r="HH21" s="14" t="s">
        <v>1038</v>
      </c>
      <c r="HI21" s="17" t="s">
        <v>1038</v>
      </c>
      <c r="HJ21" s="14" t="s">
        <v>1036</v>
      </c>
      <c r="HK21" s="17" t="s">
        <v>1038</v>
      </c>
      <c r="HL21" s="14" t="s">
        <v>1036</v>
      </c>
      <c r="HM21" s="17" t="s">
        <v>1038</v>
      </c>
      <c r="HN21" s="14" t="s">
        <v>1035</v>
      </c>
      <c r="HO21" s="17" t="s">
        <v>1039</v>
      </c>
      <c r="HP21" s="14" t="s">
        <v>1038</v>
      </c>
      <c r="HQ21" s="17" t="s">
        <v>1038</v>
      </c>
      <c r="HR21" s="14" t="s">
        <v>1038</v>
      </c>
      <c r="HS21" s="17" t="s">
        <v>1036</v>
      </c>
      <c r="HT21" s="14" t="s">
        <v>1037</v>
      </c>
      <c r="HU21" s="17" t="s">
        <v>1036</v>
      </c>
      <c r="HV21" s="14" t="s">
        <v>1035</v>
      </c>
      <c r="HW21" s="17" t="s">
        <v>1036</v>
      </c>
      <c r="HX21" s="14" t="s">
        <v>1037</v>
      </c>
      <c r="HY21" s="17" t="s">
        <v>1035</v>
      </c>
      <c r="HZ21" s="14" t="s">
        <v>1037</v>
      </c>
      <c r="IA21" s="17" t="s">
        <v>1037</v>
      </c>
      <c r="IB21" s="14" t="s">
        <v>1039</v>
      </c>
      <c r="IC21" s="17" t="s">
        <v>1035</v>
      </c>
      <c r="ID21" s="14" t="s">
        <v>1039</v>
      </c>
      <c r="IE21" s="17" t="s">
        <v>1039</v>
      </c>
      <c r="IF21" s="14" t="s">
        <v>1037</v>
      </c>
      <c r="IG21" s="17" t="s">
        <v>1039</v>
      </c>
      <c r="IH21" s="14" t="s">
        <v>1036</v>
      </c>
      <c r="II21" s="17" t="s">
        <v>1039</v>
      </c>
      <c r="IJ21" s="14" t="s">
        <v>1039</v>
      </c>
      <c r="IK21" s="17" t="s">
        <v>1037</v>
      </c>
      <c r="IL21" s="14" t="s">
        <v>1038</v>
      </c>
      <c r="IM21" s="17" t="s">
        <v>1036</v>
      </c>
      <c r="IN21" s="14" t="s">
        <v>1037</v>
      </c>
      <c r="IO21" s="17" t="s">
        <v>1038</v>
      </c>
      <c r="IP21" s="14" t="s">
        <v>1036</v>
      </c>
      <c r="IQ21" s="17" t="s">
        <v>1035</v>
      </c>
      <c r="IR21" s="14" t="s">
        <v>1036</v>
      </c>
      <c r="IS21" s="17" t="s">
        <v>1035</v>
      </c>
      <c r="IT21" s="14" t="s">
        <v>1036</v>
      </c>
      <c r="IU21" s="17" t="s">
        <v>1038</v>
      </c>
      <c r="IV21" s="14" t="s">
        <v>1035</v>
      </c>
      <c r="IW21" s="17" t="s">
        <v>1039</v>
      </c>
      <c r="IX21" s="14" t="s">
        <v>1036</v>
      </c>
      <c r="IY21" s="17" t="s">
        <v>1035</v>
      </c>
      <c r="IZ21" s="14" t="s">
        <v>1037</v>
      </c>
      <c r="JA21" s="17" t="s">
        <v>1036</v>
      </c>
      <c r="JB21" s="14" t="s">
        <v>1036</v>
      </c>
      <c r="JC21" s="17" t="s">
        <v>1038</v>
      </c>
      <c r="JD21" s="14" t="s">
        <v>1038</v>
      </c>
      <c r="JE21" s="17" t="s">
        <v>1038</v>
      </c>
      <c r="JF21" s="14" t="s">
        <v>1035</v>
      </c>
      <c r="JG21" s="17" t="s">
        <v>1039</v>
      </c>
      <c r="JH21" s="14" t="s">
        <v>1036</v>
      </c>
      <c r="JI21" s="17" t="s">
        <v>1035</v>
      </c>
      <c r="JJ21" s="14" t="s">
        <v>1036</v>
      </c>
      <c r="JK21" s="17" t="s">
        <v>1039</v>
      </c>
      <c r="JL21" s="14" t="s">
        <v>1038</v>
      </c>
      <c r="JM21" s="17" t="s">
        <v>1035</v>
      </c>
      <c r="JN21" s="14" t="s">
        <v>1039</v>
      </c>
      <c r="JO21" s="17" t="s">
        <v>1037</v>
      </c>
      <c r="JP21" s="14" t="s">
        <v>1037</v>
      </c>
      <c r="JQ21" s="17" t="s">
        <v>1036</v>
      </c>
      <c r="JR21" s="14" t="s">
        <v>1035</v>
      </c>
      <c r="JS21" s="17" t="s">
        <v>1035</v>
      </c>
      <c r="JT21" s="14" t="s">
        <v>1036</v>
      </c>
      <c r="JU21" s="17" t="s">
        <v>1036</v>
      </c>
      <c r="JV21" s="14" t="s">
        <v>1039</v>
      </c>
      <c r="JW21" s="17" t="s">
        <v>1039</v>
      </c>
      <c r="JX21" s="14" t="s">
        <v>1038</v>
      </c>
      <c r="JY21" s="17" t="s">
        <v>1036</v>
      </c>
      <c r="JZ21" s="14" t="s">
        <v>1038</v>
      </c>
      <c r="KA21" s="17" t="s">
        <v>1035</v>
      </c>
      <c r="KB21" s="14" t="s">
        <v>1037</v>
      </c>
      <c r="KC21" s="17" t="s">
        <v>1037</v>
      </c>
      <c r="KD21" s="14" t="s">
        <v>1038</v>
      </c>
      <c r="KE21" s="17" t="s">
        <v>1036</v>
      </c>
      <c r="KF21" s="14" t="s">
        <v>1036</v>
      </c>
      <c r="KG21" s="17" t="s">
        <v>1037</v>
      </c>
      <c r="KH21" s="14" t="s">
        <v>1037</v>
      </c>
      <c r="KI21" s="17" t="s">
        <v>1038</v>
      </c>
      <c r="KJ21" s="14" t="s">
        <v>1038</v>
      </c>
      <c r="KK21" s="17" t="s">
        <v>1035</v>
      </c>
      <c r="KL21" s="14" t="s">
        <v>1037</v>
      </c>
      <c r="KM21" s="17" t="s">
        <v>1036</v>
      </c>
      <c r="KN21" s="14" t="s">
        <v>1035</v>
      </c>
      <c r="KO21" s="17" t="s">
        <v>1038</v>
      </c>
      <c r="KP21" s="14" t="s">
        <v>1038</v>
      </c>
      <c r="KQ21" s="17" t="s">
        <v>1035</v>
      </c>
      <c r="KR21" s="14" t="s">
        <v>1039</v>
      </c>
      <c r="KS21" s="17" t="s">
        <v>1037</v>
      </c>
      <c r="KT21" s="14" t="s">
        <v>1035</v>
      </c>
      <c r="KU21" s="17" t="s">
        <v>1036</v>
      </c>
      <c r="KV21" s="14" t="s">
        <v>1035</v>
      </c>
      <c r="KW21" s="17" t="s">
        <v>1039</v>
      </c>
      <c r="KX21" s="14" t="s">
        <v>1037</v>
      </c>
      <c r="KY21" s="17" t="s">
        <v>1038</v>
      </c>
      <c r="KZ21" s="14" t="s">
        <v>1038</v>
      </c>
      <c r="LA21" s="17" t="s">
        <v>1038</v>
      </c>
      <c r="LB21" s="14" t="s">
        <v>1038</v>
      </c>
      <c r="LC21" s="17" t="s">
        <v>1035</v>
      </c>
      <c r="LD21" s="14" t="s">
        <v>1039</v>
      </c>
      <c r="LE21" s="17" t="s">
        <v>1039</v>
      </c>
      <c r="LF21" s="14" t="s">
        <v>1038</v>
      </c>
      <c r="LG21" s="17" t="s">
        <v>1036</v>
      </c>
      <c r="LH21" s="14" t="s">
        <v>1038</v>
      </c>
      <c r="LI21" s="17" t="s">
        <v>1035</v>
      </c>
      <c r="LJ21" s="14" t="s">
        <v>1039</v>
      </c>
      <c r="LK21" s="17" t="s">
        <v>1037</v>
      </c>
      <c r="LL21" s="14" t="s">
        <v>1038</v>
      </c>
      <c r="LM21" s="17" t="s">
        <v>1038</v>
      </c>
      <c r="LN21" s="14" t="s">
        <v>1036</v>
      </c>
      <c r="LO21" s="17" t="s">
        <v>1036</v>
      </c>
      <c r="LP21" s="14" t="s">
        <v>1039</v>
      </c>
      <c r="LQ21" s="17" t="s">
        <v>1035</v>
      </c>
      <c r="LR21" s="14" t="s">
        <v>1038</v>
      </c>
      <c r="LS21" s="17" t="s">
        <v>1037</v>
      </c>
      <c r="LT21" s="14" t="s">
        <v>1037</v>
      </c>
      <c r="LU21" s="17" t="s">
        <v>1038</v>
      </c>
      <c r="LV21" s="14" t="s">
        <v>1039</v>
      </c>
      <c r="LW21" s="17" t="s">
        <v>1039</v>
      </c>
      <c r="LX21" s="14" t="s">
        <v>1036</v>
      </c>
      <c r="LY21" s="17" t="s">
        <v>1035</v>
      </c>
      <c r="LZ21" s="14" t="s">
        <v>1038</v>
      </c>
      <c r="MA21" s="17" t="s">
        <v>1038</v>
      </c>
      <c r="MB21" s="14" t="s">
        <v>1036</v>
      </c>
      <c r="MC21" s="17" t="s">
        <v>1038</v>
      </c>
      <c r="MD21" s="14" t="s">
        <v>1035</v>
      </c>
      <c r="ME21" s="17" t="s">
        <v>1037</v>
      </c>
      <c r="MF21" s="14" t="s">
        <v>1037</v>
      </c>
      <c r="MG21" s="17" t="s">
        <v>1035</v>
      </c>
      <c r="MH21" s="14" t="s">
        <v>1037</v>
      </c>
      <c r="MI21" s="17" t="s">
        <v>1039</v>
      </c>
      <c r="MJ21" s="14" t="s">
        <v>1038</v>
      </c>
      <c r="MK21" s="17" t="s">
        <v>1035</v>
      </c>
      <c r="ML21" s="14" t="s">
        <v>1039</v>
      </c>
      <c r="MM21" s="17" t="s">
        <v>1036</v>
      </c>
      <c r="MN21" s="14" t="s">
        <v>1039</v>
      </c>
      <c r="MO21" s="17" t="s">
        <v>1036</v>
      </c>
      <c r="MP21" s="14" t="s">
        <v>1036</v>
      </c>
      <c r="MQ21" s="17" t="s">
        <v>1039</v>
      </c>
      <c r="MR21" s="14" t="s">
        <v>1036</v>
      </c>
      <c r="MS21" s="17" t="s">
        <v>1039</v>
      </c>
      <c r="MT21" s="14" t="s">
        <v>1038</v>
      </c>
      <c r="MU21" s="17" t="s">
        <v>1038</v>
      </c>
      <c r="MV21" s="14" t="s">
        <v>1036</v>
      </c>
      <c r="MW21" s="17" t="s">
        <v>1038</v>
      </c>
      <c r="MX21" s="14" t="s">
        <v>1039</v>
      </c>
      <c r="MY21" s="17" t="s">
        <v>1035</v>
      </c>
      <c r="MZ21" s="14" t="s">
        <v>1035</v>
      </c>
      <c r="NA21" s="17" t="s">
        <v>1035</v>
      </c>
      <c r="NB21" s="14" t="s">
        <v>1039</v>
      </c>
      <c r="NC21" s="17" t="s">
        <v>1036</v>
      </c>
      <c r="ND21" s="14" t="s">
        <v>1039</v>
      </c>
      <c r="NE21" s="17" t="s">
        <v>1036</v>
      </c>
      <c r="NF21" s="14" t="s">
        <v>1036</v>
      </c>
      <c r="NG21" s="17" t="s">
        <v>1038</v>
      </c>
      <c r="NH21" s="14" t="s">
        <v>1037</v>
      </c>
      <c r="NI21" s="17" t="s">
        <v>1037</v>
      </c>
      <c r="NJ21" s="14" t="s">
        <v>1038</v>
      </c>
      <c r="NK21" s="17" t="s">
        <v>1036</v>
      </c>
      <c r="NL21" s="14" t="s">
        <v>1036</v>
      </c>
      <c r="NM21" s="17" t="s">
        <v>1038</v>
      </c>
      <c r="NN21" s="14" t="s">
        <v>1035</v>
      </c>
      <c r="NO21" s="17" t="s">
        <v>1035</v>
      </c>
      <c r="NP21" s="14" t="s">
        <v>1039</v>
      </c>
      <c r="NQ21" s="17" t="s">
        <v>1038</v>
      </c>
      <c r="NR21" s="14" t="s">
        <v>1038</v>
      </c>
      <c r="NS21" s="17" t="s">
        <v>1039</v>
      </c>
      <c r="NT21" s="14" t="s">
        <v>1035</v>
      </c>
      <c r="NU21" s="17" t="s">
        <v>1035</v>
      </c>
      <c r="NV21" s="14" t="s">
        <v>1037</v>
      </c>
      <c r="NW21" s="17" t="s">
        <v>1037</v>
      </c>
      <c r="NX21" s="14" t="s">
        <v>1037</v>
      </c>
      <c r="NY21" s="17" t="s">
        <v>1036</v>
      </c>
      <c r="NZ21" s="14" t="s">
        <v>1039</v>
      </c>
      <c r="OA21" s="17" t="s">
        <v>1035</v>
      </c>
      <c r="OB21" s="14" t="s">
        <v>1036</v>
      </c>
      <c r="OC21" s="17" t="s">
        <v>1038</v>
      </c>
      <c r="OD21" s="14" t="s">
        <v>1039</v>
      </c>
      <c r="OE21" s="17" t="s">
        <v>1036</v>
      </c>
      <c r="OF21" s="14" t="s">
        <v>1036</v>
      </c>
      <c r="OG21" s="17" t="s">
        <v>1038</v>
      </c>
      <c r="OH21" s="14" t="s">
        <v>1036</v>
      </c>
      <c r="OI21" s="17" t="s">
        <v>1036</v>
      </c>
      <c r="OJ21" s="14" t="s">
        <v>1037</v>
      </c>
      <c r="OK21" s="17" t="s">
        <v>1038</v>
      </c>
      <c r="OL21" s="14" t="s">
        <v>1038</v>
      </c>
      <c r="OM21" s="17" t="s">
        <v>1038</v>
      </c>
      <c r="ON21" s="14" t="s">
        <v>1039</v>
      </c>
      <c r="OO21" s="17" t="s">
        <v>1038</v>
      </c>
      <c r="OP21" s="14" t="s">
        <v>1035</v>
      </c>
      <c r="OQ21" s="17" t="s">
        <v>1039</v>
      </c>
      <c r="OR21" s="14" t="s">
        <v>1039</v>
      </c>
      <c r="OS21" s="17" t="s">
        <v>1035</v>
      </c>
      <c r="OT21" s="14" t="s">
        <v>1038</v>
      </c>
      <c r="OU21" s="17" t="s">
        <v>1035</v>
      </c>
      <c r="OV21" s="14" t="s">
        <v>1036</v>
      </c>
      <c r="OW21" s="17" t="s">
        <v>1037</v>
      </c>
      <c r="OX21" s="14" t="s">
        <v>1037</v>
      </c>
      <c r="OY21" s="17" t="s">
        <v>1036</v>
      </c>
      <c r="OZ21" s="14" t="s">
        <v>1037</v>
      </c>
      <c r="PA21" s="17" t="s">
        <v>1036</v>
      </c>
      <c r="PB21" s="14" t="s">
        <v>1036</v>
      </c>
      <c r="PC21" s="17" t="s">
        <v>1037</v>
      </c>
      <c r="PD21" s="14" t="s">
        <v>1036</v>
      </c>
      <c r="PE21" s="17" t="s">
        <v>1037</v>
      </c>
      <c r="PF21" s="14" t="s">
        <v>1038</v>
      </c>
      <c r="PG21" s="17" t="s">
        <v>1037</v>
      </c>
      <c r="PH21" s="14" t="s">
        <v>1037</v>
      </c>
      <c r="PI21" s="17" t="s">
        <v>1038</v>
      </c>
      <c r="PJ21" s="14" t="s">
        <v>1039</v>
      </c>
      <c r="PK21" s="17" t="s">
        <v>1037</v>
      </c>
      <c r="PL21" s="14" t="s">
        <v>1036</v>
      </c>
      <c r="PM21" s="17" t="s">
        <v>1035</v>
      </c>
      <c r="PN21" s="14" t="s">
        <v>1038</v>
      </c>
      <c r="PO21" s="17" t="s">
        <v>1037</v>
      </c>
      <c r="PP21" s="14" t="s">
        <v>1038</v>
      </c>
      <c r="PQ21" s="17" t="s">
        <v>1038</v>
      </c>
      <c r="PR21" s="14" t="s">
        <v>1036</v>
      </c>
      <c r="PS21" s="17" t="s">
        <v>1036</v>
      </c>
      <c r="PT21" s="14" t="s">
        <v>1037</v>
      </c>
      <c r="PU21" s="17" t="s">
        <v>1037</v>
      </c>
      <c r="PV21" s="14" t="s">
        <v>1038</v>
      </c>
      <c r="PW21" s="17" t="s">
        <v>1038</v>
      </c>
      <c r="PX21" s="14" t="s">
        <v>1038</v>
      </c>
      <c r="PY21" s="17" t="s">
        <v>1036</v>
      </c>
      <c r="PZ21" s="14" t="s">
        <v>1038</v>
      </c>
      <c r="QA21" s="17" t="s">
        <v>1039</v>
      </c>
      <c r="QB21" s="14" t="s">
        <v>1037</v>
      </c>
      <c r="QC21" s="17" t="s">
        <v>1037</v>
      </c>
      <c r="QD21" s="14" t="s">
        <v>1035</v>
      </c>
      <c r="QE21" s="17" t="s">
        <v>1039</v>
      </c>
      <c r="QF21" s="14" t="s">
        <v>1038</v>
      </c>
      <c r="QG21" s="17" t="s">
        <v>1036</v>
      </c>
      <c r="QH21" s="14" t="s">
        <v>1035</v>
      </c>
      <c r="QI21" s="17" t="s">
        <v>1036</v>
      </c>
      <c r="QJ21" s="14" t="s">
        <v>1036</v>
      </c>
      <c r="QK21" s="17" t="s">
        <v>1038</v>
      </c>
      <c r="QL21" s="14" t="s">
        <v>1038</v>
      </c>
      <c r="QM21" s="17" t="s">
        <v>1038</v>
      </c>
      <c r="QN21" s="14" t="s">
        <v>1039</v>
      </c>
      <c r="QO21" s="17" t="s">
        <v>1039</v>
      </c>
      <c r="QP21" s="14" t="s">
        <v>1039</v>
      </c>
      <c r="QQ21" s="17" t="s">
        <v>1035</v>
      </c>
      <c r="QR21" s="14" t="s">
        <v>1036</v>
      </c>
      <c r="QS21" s="17" t="s">
        <v>1038</v>
      </c>
      <c r="QT21" s="14" t="s">
        <v>1038</v>
      </c>
      <c r="QU21" s="17" t="s">
        <v>1038</v>
      </c>
      <c r="QV21" s="14" t="s">
        <v>1039</v>
      </c>
      <c r="QW21" s="17" t="s">
        <v>1039</v>
      </c>
      <c r="QX21" s="14" t="s">
        <v>1039</v>
      </c>
      <c r="QY21" s="17" t="s">
        <v>1038</v>
      </c>
      <c r="QZ21" s="14" t="s">
        <v>1037</v>
      </c>
      <c r="RA21" s="17" t="s">
        <v>1036</v>
      </c>
      <c r="RB21" s="14" t="s">
        <v>1039</v>
      </c>
      <c r="RC21" s="17" t="s">
        <v>1036</v>
      </c>
      <c r="RD21" s="14" t="s">
        <v>1038</v>
      </c>
      <c r="RE21" s="17" t="s">
        <v>1039</v>
      </c>
      <c r="RF21" s="14" t="s">
        <v>1035</v>
      </c>
      <c r="RG21" s="17" t="s">
        <v>1039</v>
      </c>
      <c r="RH21" s="14" t="s">
        <v>1036</v>
      </c>
      <c r="RI21" s="17" t="s">
        <v>1035</v>
      </c>
      <c r="RJ21" s="14" t="s">
        <v>1038</v>
      </c>
      <c r="RK21" s="17" t="s">
        <v>1038</v>
      </c>
      <c r="RL21" s="14" t="s">
        <v>1036</v>
      </c>
      <c r="RM21" s="17" t="s">
        <v>1038</v>
      </c>
      <c r="RN21" s="14" t="s">
        <v>1039</v>
      </c>
      <c r="RO21" s="17" t="s">
        <v>1035</v>
      </c>
      <c r="RP21" s="14" t="s">
        <v>1038</v>
      </c>
      <c r="RQ21" s="17" t="s">
        <v>1038</v>
      </c>
      <c r="RR21" s="14" t="s">
        <v>1036</v>
      </c>
      <c r="RS21" s="17" t="s">
        <v>1037</v>
      </c>
      <c r="RT21" s="14" t="s">
        <v>1035</v>
      </c>
      <c r="RU21" s="17" t="s">
        <v>1037</v>
      </c>
      <c r="RV21" s="14" t="s">
        <v>1038</v>
      </c>
      <c r="RW21" s="17" t="s">
        <v>1035</v>
      </c>
      <c r="RX21" s="14" t="s">
        <v>1038</v>
      </c>
      <c r="RY21" s="17" t="s">
        <v>1037</v>
      </c>
      <c r="RZ21" s="14" t="s">
        <v>1039</v>
      </c>
      <c r="SA21" s="17" t="s">
        <v>1037</v>
      </c>
      <c r="SB21" s="14" t="s">
        <v>1039</v>
      </c>
      <c r="SC21" s="17" t="s">
        <v>1035</v>
      </c>
      <c r="SD21" s="14" t="s">
        <v>1039</v>
      </c>
      <c r="SE21" s="17" t="s">
        <v>1038</v>
      </c>
      <c r="SF21" s="14" t="s">
        <v>1037</v>
      </c>
      <c r="SG21" s="17" t="s">
        <v>1035</v>
      </c>
      <c r="SH21" s="14" t="s">
        <v>1038</v>
      </c>
      <c r="SI21" s="17" t="s">
        <v>1038</v>
      </c>
      <c r="SJ21" s="14" t="s">
        <v>1035</v>
      </c>
      <c r="SK21" s="17" t="s">
        <v>1038</v>
      </c>
      <c r="SL21" s="14" t="s">
        <v>1037</v>
      </c>
      <c r="SM21" s="17" t="s">
        <v>1039</v>
      </c>
      <c r="SN21" s="14" t="s">
        <v>1037</v>
      </c>
      <c r="SO21" s="17" t="s">
        <v>1035</v>
      </c>
      <c r="SP21" s="14" t="s">
        <v>1036</v>
      </c>
      <c r="SQ21" s="17" t="s">
        <v>1038</v>
      </c>
      <c r="SR21" s="14" t="s">
        <v>1037</v>
      </c>
      <c r="SS21" s="17" t="s">
        <v>1037</v>
      </c>
      <c r="ST21" s="14" t="s">
        <v>1037</v>
      </c>
      <c r="SU21" s="17" t="s">
        <v>1037</v>
      </c>
      <c r="SV21" s="14" t="s">
        <v>1039</v>
      </c>
      <c r="SW21" s="17" t="s">
        <v>1038</v>
      </c>
      <c r="SX21" s="14" t="s">
        <v>1036</v>
      </c>
      <c r="SY21" s="17" t="s">
        <v>1038</v>
      </c>
      <c r="SZ21" s="14" t="s">
        <v>1038</v>
      </c>
      <c r="TA21" s="17" t="s">
        <v>1035</v>
      </c>
      <c r="TB21" s="14" t="s">
        <v>1037</v>
      </c>
      <c r="TC21" s="17" t="s">
        <v>1037</v>
      </c>
      <c r="TD21" s="14" t="s">
        <v>1039</v>
      </c>
      <c r="TE21" s="17" t="s">
        <v>1036</v>
      </c>
      <c r="TF21" s="14" t="s">
        <v>1036</v>
      </c>
      <c r="TG21" s="17" t="s">
        <v>1035</v>
      </c>
      <c r="TH21" s="14" t="s">
        <v>1035</v>
      </c>
      <c r="TI21" s="17" t="s">
        <v>1035</v>
      </c>
      <c r="TJ21" s="14" t="s">
        <v>1037</v>
      </c>
      <c r="TK21" s="17" t="s">
        <v>1037</v>
      </c>
      <c r="TL21" s="14" t="s">
        <v>1039</v>
      </c>
      <c r="TM21" s="17" t="s">
        <v>1036</v>
      </c>
      <c r="TN21" s="14" t="s">
        <v>1036</v>
      </c>
      <c r="TO21" s="17" t="s">
        <v>1035</v>
      </c>
      <c r="TP21" s="14" t="s">
        <v>1038</v>
      </c>
      <c r="TQ21" s="17" t="s">
        <v>1036</v>
      </c>
      <c r="TR21" s="14" t="s">
        <v>1039</v>
      </c>
      <c r="TS21" s="17" t="s">
        <v>1037</v>
      </c>
      <c r="TT21" s="14" t="s">
        <v>1036</v>
      </c>
      <c r="TU21" s="17" t="s">
        <v>1039</v>
      </c>
      <c r="TV21" s="14" t="s">
        <v>1037</v>
      </c>
      <c r="TW21" s="17" t="s">
        <v>1038</v>
      </c>
      <c r="TX21" s="14" t="s">
        <v>1035</v>
      </c>
      <c r="TY21" s="17" t="s">
        <v>1035</v>
      </c>
      <c r="TZ21" s="14" t="s">
        <v>1035</v>
      </c>
      <c r="UA21" s="17" t="s">
        <v>1036</v>
      </c>
      <c r="UB21" s="14" t="s">
        <v>1039</v>
      </c>
      <c r="UC21" s="17" t="s">
        <v>1035</v>
      </c>
      <c r="UD21" s="14" t="s">
        <v>1037</v>
      </c>
      <c r="UE21" s="17" t="s">
        <v>1039</v>
      </c>
      <c r="UF21" s="14" t="s">
        <v>1039</v>
      </c>
      <c r="UG21" s="17" t="s">
        <v>1036</v>
      </c>
      <c r="UH21" s="14" t="s">
        <v>1036</v>
      </c>
      <c r="UI21" s="17" t="s">
        <v>1038</v>
      </c>
      <c r="UJ21" s="14" t="s">
        <v>1038</v>
      </c>
      <c r="UK21" s="17" t="s">
        <v>1036</v>
      </c>
      <c r="UL21" s="14" t="s">
        <v>1036</v>
      </c>
      <c r="UM21" s="17" t="s">
        <v>1039</v>
      </c>
      <c r="UN21" s="14" t="s">
        <v>1039</v>
      </c>
      <c r="UO21" s="17" t="s">
        <v>1036</v>
      </c>
      <c r="UP21" s="14" t="s">
        <v>1039</v>
      </c>
      <c r="UQ21" s="17" t="s">
        <v>1036</v>
      </c>
      <c r="UR21" s="14" t="s">
        <v>1039</v>
      </c>
      <c r="US21" s="17" t="s">
        <v>1036</v>
      </c>
      <c r="UT21" s="14" t="s">
        <v>1037</v>
      </c>
      <c r="UU21" s="17" t="s">
        <v>1036</v>
      </c>
      <c r="UV21" s="14" t="s">
        <v>1037</v>
      </c>
      <c r="UW21" s="17" t="s">
        <v>1035</v>
      </c>
      <c r="UX21" s="14" t="s">
        <v>1037</v>
      </c>
      <c r="UY21" s="17" t="s">
        <v>1035</v>
      </c>
      <c r="UZ21" s="14" t="s">
        <v>1038</v>
      </c>
      <c r="VA21" s="17" t="s">
        <v>1039</v>
      </c>
      <c r="VB21" s="14" t="s">
        <v>1038</v>
      </c>
      <c r="VC21" s="17" t="s">
        <v>1036</v>
      </c>
      <c r="VD21" s="14" t="s">
        <v>1037</v>
      </c>
      <c r="VE21" s="17" t="s">
        <v>1035</v>
      </c>
      <c r="VF21" s="14" t="s">
        <v>1035</v>
      </c>
      <c r="VG21" s="17" t="s">
        <v>1037</v>
      </c>
      <c r="VH21" s="14" t="s">
        <v>1036</v>
      </c>
      <c r="VI21" s="17" t="s">
        <v>1037</v>
      </c>
      <c r="VJ21" s="14" t="s">
        <v>1038</v>
      </c>
      <c r="VK21" s="17" t="s">
        <v>1038</v>
      </c>
      <c r="VL21" s="14" t="s">
        <v>1036</v>
      </c>
      <c r="VM21" s="17" t="s">
        <v>1037</v>
      </c>
      <c r="VN21" s="14" t="s">
        <v>1038</v>
      </c>
      <c r="VO21" s="17" t="s">
        <v>1035</v>
      </c>
      <c r="VP21" s="14" t="s">
        <v>1035</v>
      </c>
      <c r="VQ21" s="17" t="s">
        <v>1039</v>
      </c>
      <c r="VR21" s="14" t="s">
        <v>1037</v>
      </c>
      <c r="VS21" s="17" t="s">
        <v>1036</v>
      </c>
      <c r="VT21" s="14" t="s">
        <v>1035</v>
      </c>
      <c r="VU21" s="17" t="s">
        <v>1035</v>
      </c>
      <c r="VV21" s="14" t="s">
        <v>1038</v>
      </c>
      <c r="VW21" s="17" t="s">
        <v>1035</v>
      </c>
      <c r="VX21" s="14" t="s">
        <v>1037</v>
      </c>
      <c r="VY21" s="17" t="s">
        <v>1037</v>
      </c>
      <c r="VZ21" s="14" t="s">
        <v>1039</v>
      </c>
      <c r="WA21" s="17" t="s">
        <v>1038</v>
      </c>
      <c r="WB21" s="14" t="s">
        <v>1037</v>
      </c>
      <c r="WC21" s="17" t="s">
        <v>1037</v>
      </c>
      <c r="WD21" s="14" t="s">
        <v>1038</v>
      </c>
      <c r="WE21" s="17" t="s">
        <v>1038</v>
      </c>
      <c r="WF21" s="14" t="s">
        <v>1038</v>
      </c>
      <c r="WG21" s="17" t="s">
        <v>1038</v>
      </c>
      <c r="WH21" s="14" t="s">
        <v>1039</v>
      </c>
      <c r="WI21" s="17" t="s">
        <v>1035</v>
      </c>
      <c r="WJ21" s="14" t="s">
        <v>1036</v>
      </c>
      <c r="WK21" s="17" t="s">
        <v>1038</v>
      </c>
      <c r="WL21" s="14" t="s">
        <v>1037</v>
      </c>
      <c r="WM21" s="17" t="s">
        <v>1036</v>
      </c>
      <c r="WN21" s="14" t="s">
        <v>1039</v>
      </c>
      <c r="WO21" s="17" t="s">
        <v>1036</v>
      </c>
      <c r="WP21" s="14" t="s">
        <v>1036</v>
      </c>
      <c r="WQ21" s="17" t="s">
        <v>1035</v>
      </c>
      <c r="WR21" s="14" t="s">
        <v>1035</v>
      </c>
      <c r="WS21" s="17" t="s">
        <v>1038</v>
      </c>
      <c r="WT21" s="14" t="s">
        <v>1037</v>
      </c>
      <c r="WU21" s="17" t="s">
        <v>1038</v>
      </c>
      <c r="WV21" s="14" t="s">
        <v>1036</v>
      </c>
      <c r="WW21" s="17" t="s">
        <v>1038</v>
      </c>
      <c r="WX21" s="14" t="s">
        <v>1036</v>
      </c>
      <c r="WY21" s="17" t="s">
        <v>1037</v>
      </c>
      <c r="WZ21" s="14" t="s">
        <v>1039</v>
      </c>
      <c r="XA21" s="17" t="s">
        <v>1036</v>
      </c>
      <c r="XB21" s="14" t="s">
        <v>1039</v>
      </c>
      <c r="XC21" s="17" t="s">
        <v>1035</v>
      </c>
      <c r="XD21" s="14" t="s">
        <v>1038</v>
      </c>
      <c r="XE21" s="17" t="s">
        <v>1038</v>
      </c>
      <c r="XF21" s="14" t="s">
        <v>1039</v>
      </c>
      <c r="XG21" s="17" t="s">
        <v>1035</v>
      </c>
      <c r="XH21" s="14" t="s">
        <v>1035</v>
      </c>
      <c r="XI21" s="17" t="s">
        <v>1035</v>
      </c>
      <c r="XJ21" s="14" t="s">
        <v>1036</v>
      </c>
      <c r="XK21" s="17" t="s">
        <v>1035</v>
      </c>
      <c r="XL21" s="14" t="s">
        <v>1039</v>
      </c>
      <c r="XM21" s="17" t="s">
        <v>1039</v>
      </c>
      <c r="XN21" s="14" t="s">
        <v>1037</v>
      </c>
      <c r="XO21" s="17" t="s">
        <v>1038</v>
      </c>
      <c r="XP21" s="14" t="s">
        <v>1038</v>
      </c>
      <c r="XQ21" s="17" t="s">
        <v>1037</v>
      </c>
      <c r="XR21" s="14" t="s">
        <v>1039</v>
      </c>
      <c r="XS21" s="17" t="s">
        <v>1039</v>
      </c>
      <c r="XT21" s="14" t="s">
        <v>1039</v>
      </c>
      <c r="XU21" s="17" t="s">
        <v>1038</v>
      </c>
      <c r="XV21" s="14" t="s">
        <v>1035</v>
      </c>
      <c r="XW21" s="17" t="s">
        <v>1038</v>
      </c>
      <c r="XX21" s="14" t="s">
        <v>1037</v>
      </c>
      <c r="XY21" s="17" t="s">
        <v>1035</v>
      </c>
      <c r="XZ21" s="14" t="s">
        <v>1036</v>
      </c>
      <c r="YA21" s="17" t="s">
        <v>1036</v>
      </c>
      <c r="YB21" s="14" t="s">
        <v>1039</v>
      </c>
      <c r="YC21" s="17" t="s">
        <v>1035</v>
      </c>
      <c r="YD21" s="14" t="s">
        <v>1038</v>
      </c>
      <c r="YE21" s="17" t="s">
        <v>1037</v>
      </c>
      <c r="YF21" s="14" t="s">
        <v>1039</v>
      </c>
      <c r="YG21" s="17" t="s">
        <v>1039</v>
      </c>
      <c r="YH21" s="14" t="s">
        <v>1035</v>
      </c>
      <c r="YI21" s="17" t="s">
        <v>1037</v>
      </c>
      <c r="YJ21" s="14" t="s">
        <v>1036</v>
      </c>
      <c r="YK21" s="17" t="s">
        <v>1039</v>
      </c>
      <c r="YL21" s="14" t="s">
        <v>1039</v>
      </c>
      <c r="YM21" s="17" t="s">
        <v>1035</v>
      </c>
      <c r="YN21" s="14" t="s">
        <v>1039</v>
      </c>
      <c r="YO21" s="17" t="s">
        <v>1035</v>
      </c>
      <c r="YP21" s="14" t="s">
        <v>1037</v>
      </c>
      <c r="YQ21" s="17" t="s">
        <v>1036</v>
      </c>
      <c r="YR21" s="14" t="s">
        <v>1036</v>
      </c>
      <c r="YS21" s="17" t="s">
        <v>1039</v>
      </c>
      <c r="YT21" s="14" t="s">
        <v>1039</v>
      </c>
      <c r="YU21" s="17" t="s">
        <v>1035</v>
      </c>
      <c r="YV21" s="14" t="s">
        <v>1037</v>
      </c>
      <c r="YW21" s="17" t="s">
        <v>1035</v>
      </c>
      <c r="YX21" s="14" t="s">
        <v>1038</v>
      </c>
      <c r="YY21" s="17" t="s">
        <v>1039</v>
      </c>
      <c r="YZ21" s="14" t="s">
        <v>1036</v>
      </c>
      <c r="ZA21" s="17" t="s">
        <v>1036</v>
      </c>
      <c r="ZB21" s="14" t="s">
        <v>1035</v>
      </c>
      <c r="ZC21" s="17" t="s">
        <v>1035</v>
      </c>
      <c r="ZD21" s="14" t="s">
        <v>1039</v>
      </c>
      <c r="ZE21" s="17" t="s">
        <v>1035</v>
      </c>
      <c r="ZF21" s="14" t="s">
        <v>1036</v>
      </c>
      <c r="ZG21" s="17" t="s">
        <v>1036</v>
      </c>
      <c r="ZH21" s="14" t="s">
        <v>1036</v>
      </c>
      <c r="ZI21" s="17" t="s">
        <v>1038</v>
      </c>
      <c r="ZJ21" s="14" t="s">
        <v>1035</v>
      </c>
      <c r="ZK21" s="17" t="s">
        <v>1039</v>
      </c>
      <c r="ZL21" s="14" t="s">
        <v>1036</v>
      </c>
      <c r="ZM21" s="17" t="s">
        <v>1038</v>
      </c>
      <c r="ZN21" s="14" t="s">
        <v>1035</v>
      </c>
      <c r="ZO21" s="17" t="s">
        <v>1037</v>
      </c>
      <c r="ZP21" s="14" t="s">
        <v>1039</v>
      </c>
      <c r="ZQ21" s="17" t="s">
        <v>1039</v>
      </c>
      <c r="ZR21" s="14" t="s">
        <v>1039</v>
      </c>
      <c r="ZS21" s="17" t="s">
        <v>1039</v>
      </c>
      <c r="ZT21" s="14" t="s">
        <v>1037</v>
      </c>
      <c r="ZU21" s="17" t="s">
        <v>1035</v>
      </c>
      <c r="ZV21" s="14" t="s">
        <v>1035</v>
      </c>
      <c r="ZW21" s="17" t="s">
        <v>1035</v>
      </c>
      <c r="ZX21" s="14" t="s">
        <v>1039</v>
      </c>
      <c r="ZY21" s="17" t="s">
        <v>1037</v>
      </c>
      <c r="ZZ21" s="14" t="s">
        <v>1038</v>
      </c>
      <c r="AAA21" s="17" t="s">
        <v>1039</v>
      </c>
      <c r="AAB21" s="14" t="s">
        <v>1037</v>
      </c>
      <c r="AAC21" s="17" t="s">
        <v>1036</v>
      </c>
      <c r="AAD21" s="14" t="s">
        <v>1035</v>
      </c>
      <c r="AAE21" s="17" t="s">
        <v>1039</v>
      </c>
      <c r="AAF21" s="14" t="s">
        <v>1039</v>
      </c>
      <c r="AAG21" s="17" t="s">
        <v>1037</v>
      </c>
      <c r="AAH21" s="14" t="s">
        <v>1035</v>
      </c>
      <c r="AAI21" s="17" t="s">
        <v>1038</v>
      </c>
      <c r="AAJ21" s="14" t="s">
        <v>1036</v>
      </c>
      <c r="AAK21" s="17" t="s">
        <v>1037</v>
      </c>
      <c r="AAL21" s="14" t="s">
        <v>1038</v>
      </c>
      <c r="AAM21" s="17" t="s">
        <v>1038</v>
      </c>
      <c r="AAN21" s="14" t="s">
        <v>1036</v>
      </c>
      <c r="AAO21" s="17" t="s">
        <v>1036</v>
      </c>
      <c r="AAP21" s="14" t="s">
        <v>1036</v>
      </c>
      <c r="AAQ21" s="17" t="s">
        <v>1038</v>
      </c>
      <c r="AAR21" s="14" t="s">
        <v>1037</v>
      </c>
      <c r="AAS21" s="17" t="s">
        <v>1038</v>
      </c>
      <c r="AAT21" s="14" t="s">
        <v>1037</v>
      </c>
      <c r="AAU21" s="17" t="s">
        <v>1038</v>
      </c>
      <c r="AAV21" s="14" t="s">
        <v>1036</v>
      </c>
      <c r="AAW21" s="17" t="s">
        <v>1035</v>
      </c>
      <c r="AAX21" s="14" t="s">
        <v>1039</v>
      </c>
      <c r="AAY21" s="17" t="s">
        <v>1038</v>
      </c>
      <c r="AAZ21" s="14" t="s">
        <v>1039</v>
      </c>
      <c r="ABA21" s="17" t="s">
        <v>1039</v>
      </c>
      <c r="ABB21" s="14" t="s">
        <v>1039</v>
      </c>
      <c r="ABC21" s="17" t="s">
        <v>1038</v>
      </c>
      <c r="ABD21" s="14" t="s">
        <v>1035</v>
      </c>
      <c r="ABE21" s="17" t="s">
        <v>1039</v>
      </c>
      <c r="ABF21" s="14" t="s">
        <v>1038</v>
      </c>
      <c r="ABG21" s="17" t="s">
        <v>1038</v>
      </c>
      <c r="ABH21" s="14" t="s">
        <v>1038</v>
      </c>
      <c r="ABI21" s="17" t="s">
        <v>1038</v>
      </c>
      <c r="ABJ21" s="14" t="s">
        <v>1038</v>
      </c>
      <c r="ABK21" s="17" t="s">
        <v>1037</v>
      </c>
      <c r="ABL21" s="14" t="s">
        <v>1037</v>
      </c>
      <c r="ABM21" s="17" t="s">
        <v>1039</v>
      </c>
      <c r="ABN21" s="14" t="s">
        <v>1037</v>
      </c>
      <c r="ABO21" s="17" t="s">
        <v>1038</v>
      </c>
      <c r="ABP21" s="14" t="s">
        <v>1038</v>
      </c>
      <c r="ABQ21" s="17" t="s">
        <v>1037</v>
      </c>
      <c r="ABR21" s="14" t="s">
        <v>1039</v>
      </c>
      <c r="ABS21" s="17" t="s">
        <v>1039</v>
      </c>
      <c r="ABT21" s="14" t="s">
        <v>1036</v>
      </c>
      <c r="ABU21" s="17" t="s">
        <v>1037</v>
      </c>
      <c r="ABV21" s="14" t="s">
        <v>1038</v>
      </c>
      <c r="ABW21" s="17" t="s">
        <v>1038</v>
      </c>
      <c r="ABX21" s="14" t="s">
        <v>1036</v>
      </c>
      <c r="ABY21" s="17" t="s">
        <v>1037</v>
      </c>
      <c r="ABZ21" s="14" t="s">
        <v>1039</v>
      </c>
      <c r="ACA21" s="17" t="s">
        <v>1035</v>
      </c>
      <c r="ACB21" s="14" t="s">
        <v>1036</v>
      </c>
      <c r="ACC21" s="17" t="s">
        <v>1039</v>
      </c>
      <c r="ACD21" s="14" t="s">
        <v>1038</v>
      </c>
      <c r="ACE21" s="17" t="s">
        <v>1036</v>
      </c>
      <c r="ACF21" s="14" t="s">
        <v>1036</v>
      </c>
      <c r="ACG21" s="17" t="s">
        <v>1035</v>
      </c>
      <c r="ACH21" s="14" t="s">
        <v>1039</v>
      </c>
      <c r="ACI21" s="17" t="s">
        <v>1035</v>
      </c>
      <c r="ACJ21" s="14" t="s">
        <v>1036</v>
      </c>
      <c r="ACK21" s="17" t="s">
        <v>1039</v>
      </c>
      <c r="ACL21" s="14" t="s">
        <v>1037</v>
      </c>
      <c r="ACM21" s="17" t="s">
        <v>1036</v>
      </c>
      <c r="ACN21" s="14" t="s">
        <v>1035</v>
      </c>
      <c r="ACO21" s="17" t="s">
        <v>1035</v>
      </c>
      <c r="ACP21" s="14" t="s">
        <v>1035</v>
      </c>
      <c r="ACQ21" s="17" t="s">
        <v>1035</v>
      </c>
      <c r="ACR21" s="14" t="s">
        <v>1035</v>
      </c>
      <c r="ACS21" s="17" t="s">
        <v>1038</v>
      </c>
      <c r="ACT21" s="14" t="s">
        <v>1036</v>
      </c>
      <c r="ACU21" s="17" t="s">
        <v>1037</v>
      </c>
      <c r="ACV21" s="14" t="s">
        <v>1037</v>
      </c>
      <c r="ACW21" s="17" t="s">
        <v>1039</v>
      </c>
      <c r="ACX21" s="14" t="s">
        <v>1038</v>
      </c>
      <c r="ACY21" s="17" t="s">
        <v>1036</v>
      </c>
      <c r="ACZ21" s="14" t="s">
        <v>1035</v>
      </c>
      <c r="ADA21" s="17" t="s">
        <v>1035</v>
      </c>
      <c r="ADB21" s="14" t="s">
        <v>1037</v>
      </c>
      <c r="ADC21" s="17" t="s">
        <v>1037</v>
      </c>
      <c r="ADD21" s="14" t="s">
        <v>1038</v>
      </c>
      <c r="ADE21" s="17" t="s">
        <v>1036</v>
      </c>
      <c r="ADF21" s="14" t="s">
        <v>1036</v>
      </c>
      <c r="ADG21" s="17" t="s">
        <v>1039</v>
      </c>
      <c r="ADH21" s="14" t="s">
        <v>1035</v>
      </c>
      <c r="ADI21" s="17" t="s">
        <v>1036</v>
      </c>
      <c r="ADJ21" s="14" t="s">
        <v>1036</v>
      </c>
      <c r="ADK21" s="17" t="s">
        <v>1038</v>
      </c>
      <c r="ADL21" s="14" t="s">
        <v>1038</v>
      </c>
      <c r="ADM21" s="17" t="s">
        <v>1039</v>
      </c>
      <c r="ADN21" s="14" t="s">
        <v>1035</v>
      </c>
      <c r="ADO21" s="17" t="s">
        <v>1039</v>
      </c>
      <c r="ADP21" s="14" t="s">
        <v>1038</v>
      </c>
      <c r="ADQ21" s="17" t="s">
        <v>1035</v>
      </c>
      <c r="ADR21" s="14" t="s">
        <v>1038</v>
      </c>
      <c r="ADS21" s="17" t="s">
        <v>1038</v>
      </c>
      <c r="ADT21" s="14" t="s">
        <v>1039</v>
      </c>
      <c r="ADU21" s="17" t="s">
        <v>1037</v>
      </c>
      <c r="ADV21" s="14" t="s">
        <v>1037</v>
      </c>
      <c r="ADW21" s="17" t="s">
        <v>1039</v>
      </c>
      <c r="ADX21" s="14" t="s">
        <v>1038</v>
      </c>
      <c r="ADY21" s="17" t="s">
        <v>1038</v>
      </c>
      <c r="ADZ21" s="14" t="s">
        <v>1038</v>
      </c>
      <c r="AEA21" s="17" t="s">
        <v>1037</v>
      </c>
      <c r="AEB21" s="14" t="s">
        <v>1035</v>
      </c>
      <c r="AEC21" s="17" t="s">
        <v>1036</v>
      </c>
      <c r="AED21" s="14" t="s">
        <v>1039</v>
      </c>
      <c r="AEE21" s="17" t="s">
        <v>1039</v>
      </c>
      <c r="AEF21" s="14" t="s">
        <v>1038</v>
      </c>
      <c r="AEG21" s="17" t="s">
        <v>1038</v>
      </c>
      <c r="AEH21" s="14" t="s">
        <v>1037</v>
      </c>
      <c r="AEI21" s="17" t="s">
        <v>1038</v>
      </c>
      <c r="AEJ21" s="14" t="s">
        <v>1035</v>
      </c>
      <c r="AEK21" s="17" t="s">
        <v>1039</v>
      </c>
      <c r="AEL21" s="14" t="s">
        <v>1036</v>
      </c>
      <c r="AEM21" s="17" t="s">
        <v>1038</v>
      </c>
      <c r="AEN21" s="14" t="s">
        <v>1035</v>
      </c>
      <c r="AEO21" s="17" t="s">
        <v>1036</v>
      </c>
      <c r="AEP21" s="14" t="s">
        <v>1037</v>
      </c>
      <c r="AEQ21" s="17" t="s">
        <v>1036</v>
      </c>
      <c r="AER21" s="14" t="s">
        <v>1039</v>
      </c>
      <c r="AES21" s="17" t="s">
        <v>1035</v>
      </c>
      <c r="AET21" s="14" t="s">
        <v>1039</v>
      </c>
      <c r="AEU21" s="17" t="s">
        <v>1036</v>
      </c>
      <c r="AEV21" s="14" t="s">
        <v>1039</v>
      </c>
      <c r="AEW21" s="17" t="s">
        <v>1036</v>
      </c>
      <c r="AEX21" s="14" t="s">
        <v>1037</v>
      </c>
      <c r="AEY21" s="17" t="s">
        <v>1039</v>
      </c>
      <c r="AEZ21" s="14" t="s">
        <v>1039</v>
      </c>
      <c r="AFA21" s="17" t="s">
        <v>1039</v>
      </c>
      <c r="AFB21" s="14" t="s">
        <v>1036</v>
      </c>
      <c r="AFC21" s="17" t="s">
        <v>1039</v>
      </c>
      <c r="AFD21" s="14" t="s">
        <v>1039</v>
      </c>
      <c r="AFE21" s="17" t="s">
        <v>1037</v>
      </c>
      <c r="AFF21" s="14" t="s">
        <v>1038</v>
      </c>
      <c r="AFG21" s="17" t="s">
        <v>1039</v>
      </c>
      <c r="AFH21" s="14" t="s">
        <v>1036</v>
      </c>
      <c r="AFI21" s="17" t="s">
        <v>1036</v>
      </c>
      <c r="AFJ21" s="14" t="s">
        <v>1039</v>
      </c>
      <c r="AFK21" s="17" t="s">
        <v>1037</v>
      </c>
      <c r="AFL21" s="14" t="s">
        <v>1036</v>
      </c>
      <c r="AFM21" s="17" t="s">
        <v>1035</v>
      </c>
      <c r="AFN21" s="14" t="s">
        <v>1037</v>
      </c>
      <c r="AFO21" s="17" t="s">
        <v>1037</v>
      </c>
      <c r="AFP21" s="14" t="s">
        <v>1039</v>
      </c>
      <c r="AFQ21" s="17" t="s">
        <v>1038</v>
      </c>
      <c r="AFR21" s="14" t="s">
        <v>1036</v>
      </c>
      <c r="AFS21" s="17" t="s">
        <v>1039</v>
      </c>
      <c r="AFT21" s="14" t="s">
        <v>1039</v>
      </c>
      <c r="AFU21" s="17" t="s">
        <v>1035</v>
      </c>
      <c r="AFV21" s="14" t="s">
        <v>1038</v>
      </c>
      <c r="AFW21" s="17" t="s">
        <v>1039</v>
      </c>
      <c r="AFX21" s="14" t="s">
        <v>1036</v>
      </c>
      <c r="AFY21" s="17" t="s">
        <v>1038</v>
      </c>
      <c r="AFZ21" s="14" t="s">
        <v>1036</v>
      </c>
      <c r="AGA21" s="17" t="s">
        <v>1035</v>
      </c>
      <c r="AGB21" s="14" t="s">
        <v>1038</v>
      </c>
      <c r="AGC21" s="17" t="s">
        <v>1037</v>
      </c>
      <c r="AGD21" s="14" t="s">
        <v>1038</v>
      </c>
      <c r="AGE21" s="17" t="s">
        <v>1036</v>
      </c>
      <c r="AGF21" s="14" t="s">
        <v>1039</v>
      </c>
      <c r="AGG21" s="17" t="s">
        <v>1035</v>
      </c>
      <c r="AGH21" s="14" t="s">
        <v>1038</v>
      </c>
      <c r="AGI21" s="17" t="s">
        <v>1035</v>
      </c>
      <c r="AGJ21" s="14" t="s">
        <v>1036</v>
      </c>
      <c r="AGK21" s="17" t="s">
        <v>1036</v>
      </c>
      <c r="AGL21" s="14" t="s">
        <v>1036</v>
      </c>
      <c r="AGM21" s="17" t="s">
        <v>1039</v>
      </c>
      <c r="AGN21" s="14" t="s">
        <v>1037</v>
      </c>
      <c r="AGO21" s="17" t="s">
        <v>1035</v>
      </c>
      <c r="AGP21" s="14" t="s">
        <v>1037</v>
      </c>
      <c r="AGQ21" s="17" t="s">
        <v>1037</v>
      </c>
      <c r="AGR21" s="14" t="s">
        <v>1035</v>
      </c>
      <c r="AGS21" s="17" t="s">
        <v>1036</v>
      </c>
      <c r="AGT21" s="14" t="s">
        <v>1037</v>
      </c>
      <c r="AGU21" s="17" t="s">
        <v>1035</v>
      </c>
      <c r="AGV21" s="14" t="s">
        <v>1038</v>
      </c>
      <c r="AGW21" s="17" t="s">
        <v>1037</v>
      </c>
      <c r="AGX21" s="14" t="s">
        <v>1036</v>
      </c>
      <c r="AGY21" s="17" t="s">
        <v>1039</v>
      </c>
      <c r="AGZ21" s="14" t="s">
        <v>1035</v>
      </c>
      <c r="AHA21" s="17" t="s">
        <v>1037</v>
      </c>
      <c r="AHB21" s="14" t="s">
        <v>1036</v>
      </c>
      <c r="AHC21" s="17" t="s">
        <v>1036</v>
      </c>
      <c r="AHD21" s="14" t="s">
        <v>1035</v>
      </c>
      <c r="AHE21" s="17" t="s">
        <v>1038</v>
      </c>
      <c r="AHF21" s="14" t="s">
        <v>1036</v>
      </c>
      <c r="AHG21" s="17" t="s">
        <v>1035</v>
      </c>
      <c r="AHH21" s="14" t="s">
        <v>1037</v>
      </c>
      <c r="AHI21" s="17" t="s">
        <v>1038</v>
      </c>
      <c r="AHJ21" s="14" t="s">
        <v>1035</v>
      </c>
      <c r="AHK21" s="17" t="s">
        <v>1035</v>
      </c>
      <c r="AHL21" s="14" t="s">
        <v>1038</v>
      </c>
      <c r="AHM21" s="17" t="s">
        <v>1036</v>
      </c>
      <c r="AHN21" s="14" t="s">
        <v>1036</v>
      </c>
      <c r="AHO21" s="17" t="s">
        <v>1037</v>
      </c>
      <c r="AHP21" s="14" t="s">
        <v>1037</v>
      </c>
      <c r="AHQ21" s="17" t="s">
        <v>1039</v>
      </c>
      <c r="AHR21" s="14" t="s">
        <v>1039</v>
      </c>
      <c r="AHS21" s="17" t="s">
        <v>1037</v>
      </c>
      <c r="AHT21" s="14" t="s">
        <v>1038</v>
      </c>
      <c r="AHU21" s="17" t="s">
        <v>1039</v>
      </c>
      <c r="AHV21" s="14" t="s">
        <v>1039</v>
      </c>
      <c r="AHW21" s="17" t="s">
        <v>1038</v>
      </c>
      <c r="AHX21" s="14" t="s">
        <v>1036</v>
      </c>
      <c r="AHY21" s="17" t="s">
        <v>1035</v>
      </c>
      <c r="AHZ21" s="14" t="s">
        <v>1036</v>
      </c>
      <c r="AIA21" s="17" t="s">
        <v>1035</v>
      </c>
      <c r="AIB21" s="14" t="s">
        <v>1038</v>
      </c>
      <c r="AIC21" s="17" t="s">
        <v>1039</v>
      </c>
      <c r="AID21" s="14" t="s">
        <v>1038</v>
      </c>
      <c r="AIE21" s="17" t="s">
        <v>1036</v>
      </c>
      <c r="AIF21" s="14" t="s">
        <v>1038</v>
      </c>
      <c r="AIG21" s="17" t="s">
        <v>1036</v>
      </c>
      <c r="AIH21" s="14" t="s">
        <v>1038</v>
      </c>
      <c r="AII21" s="17" t="s">
        <v>1037</v>
      </c>
      <c r="AIJ21" s="14" t="s">
        <v>1036</v>
      </c>
      <c r="AIK21" s="17" t="s">
        <v>1035</v>
      </c>
      <c r="AIL21" s="14" t="s">
        <v>1039</v>
      </c>
      <c r="AIM21" s="17" t="s">
        <v>1039</v>
      </c>
      <c r="AIN21" s="14" t="s">
        <v>1036</v>
      </c>
      <c r="AIO21" s="17" t="s">
        <v>1037</v>
      </c>
      <c r="AIP21" s="14" t="s">
        <v>1039</v>
      </c>
      <c r="AIQ21" s="17" t="s">
        <v>1037</v>
      </c>
      <c r="AIR21" s="14" t="s">
        <v>1035</v>
      </c>
      <c r="AIS21" s="17" t="s">
        <v>1039</v>
      </c>
      <c r="AIT21" s="14" t="s">
        <v>1038</v>
      </c>
      <c r="AIU21" s="17" t="s">
        <v>1038</v>
      </c>
      <c r="AIV21" s="14" t="s">
        <v>1036</v>
      </c>
      <c r="AIW21" s="17" t="s">
        <v>1039</v>
      </c>
      <c r="AIX21" s="14" t="s">
        <v>1037</v>
      </c>
      <c r="AIY21" s="17" t="s">
        <v>1037</v>
      </c>
      <c r="AIZ21" s="14" t="s">
        <v>1035</v>
      </c>
      <c r="AJA21" s="17" t="s">
        <v>1039</v>
      </c>
      <c r="AJB21" s="14" t="s">
        <v>1037</v>
      </c>
      <c r="AJC21" s="17" t="s">
        <v>1037</v>
      </c>
      <c r="AJD21" s="14" t="s">
        <v>1039</v>
      </c>
      <c r="AJE21" s="17" t="s">
        <v>1038</v>
      </c>
      <c r="AJF21" s="14" t="s">
        <v>1039</v>
      </c>
      <c r="AJG21" s="17" t="s">
        <v>1038</v>
      </c>
      <c r="AJH21" s="14" t="s">
        <v>1036</v>
      </c>
      <c r="AJI21" s="17" t="s">
        <v>1036</v>
      </c>
      <c r="AJJ21" s="14" t="s">
        <v>1038</v>
      </c>
      <c r="AJK21" s="17" t="s">
        <v>1039</v>
      </c>
      <c r="AJL21" s="14" t="s">
        <v>1035</v>
      </c>
      <c r="AJM21" s="17" t="s">
        <v>1037</v>
      </c>
      <c r="AJN21" s="14" t="s">
        <v>1036</v>
      </c>
      <c r="AJO21" s="17" t="s">
        <v>1036</v>
      </c>
      <c r="AJP21" s="14" t="s">
        <v>1038</v>
      </c>
      <c r="AJQ21" s="17" t="s">
        <v>1035</v>
      </c>
      <c r="AJR21" s="14" t="s">
        <v>1039</v>
      </c>
      <c r="AJS21" s="17" t="s">
        <v>1035</v>
      </c>
      <c r="AJT21" s="14" t="s">
        <v>1038</v>
      </c>
      <c r="AJU21" s="17" t="s">
        <v>1035</v>
      </c>
      <c r="AJV21" s="14" t="s">
        <v>1037</v>
      </c>
      <c r="AJW21" s="17" t="s">
        <v>1039</v>
      </c>
      <c r="AJX21" s="14" t="s">
        <v>1039</v>
      </c>
      <c r="AJY21" s="17" t="s">
        <v>1035</v>
      </c>
      <c r="AJZ21" s="14" t="s">
        <v>1036</v>
      </c>
      <c r="AKA21" s="17" t="s">
        <v>1037</v>
      </c>
      <c r="AKB21" s="14" t="s">
        <v>1039</v>
      </c>
      <c r="AKC21" s="17" t="s">
        <v>1039</v>
      </c>
      <c r="AKD21" s="14" t="s">
        <v>1036</v>
      </c>
      <c r="AKE21" s="17" t="s">
        <v>1035</v>
      </c>
      <c r="AKF21" s="14" t="s">
        <v>1036</v>
      </c>
      <c r="AKG21" s="17" t="s">
        <v>1038</v>
      </c>
      <c r="AKH21" s="14" t="s">
        <v>1036</v>
      </c>
      <c r="AKI21" s="17" t="s">
        <v>1037</v>
      </c>
      <c r="AKJ21" s="14" t="s">
        <v>1039</v>
      </c>
      <c r="AKK21" s="17" t="s">
        <v>1035</v>
      </c>
      <c r="AKL21" s="14" t="s">
        <v>1038</v>
      </c>
      <c r="AKM21" s="17" t="s">
        <v>1037</v>
      </c>
      <c r="AKN21" s="14" t="s">
        <v>1039</v>
      </c>
      <c r="AKO21" s="17" t="s">
        <v>1039</v>
      </c>
      <c r="AKP21" s="14" t="s">
        <v>1035</v>
      </c>
      <c r="AKQ21" s="17" t="s">
        <v>1035</v>
      </c>
      <c r="AKR21" s="14" t="s">
        <v>1035</v>
      </c>
      <c r="AKS21" s="17" t="s">
        <v>1038</v>
      </c>
      <c r="AKT21" s="14" t="s">
        <v>1035</v>
      </c>
      <c r="AKU21" s="17" t="s">
        <v>1037</v>
      </c>
      <c r="AKV21" s="14" t="s">
        <v>1035</v>
      </c>
      <c r="AKW21" s="17" t="s">
        <v>1035</v>
      </c>
      <c r="AKX21" s="14" t="s">
        <v>1037</v>
      </c>
      <c r="AKY21" s="17" t="s">
        <v>1038</v>
      </c>
      <c r="AKZ21" s="14" t="s">
        <v>1039</v>
      </c>
      <c r="ALA21" s="17" t="s">
        <v>1035</v>
      </c>
      <c r="ALB21" s="14" t="s">
        <v>1036</v>
      </c>
      <c r="ALC21" s="17" t="s">
        <v>1037</v>
      </c>
      <c r="ALD21" s="14" t="s">
        <v>1036</v>
      </c>
      <c r="ALE21" s="17" t="s">
        <v>1039</v>
      </c>
      <c r="ALF21" s="14" t="s">
        <v>1038</v>
      </c>
      <c r="ALG21" s="17" t="s">
        <v>1036</v>
      </c>
      <c r="ALH21" s="14" t="s">
        <v>1036</v>
      </c>
      <c r="ALI21" s="17" t="s">
        <v>1037</v>
      </c>
      <c r="ALJ21" s="14" t="s">
        <v>1038</v>
      </c>
      <c r="ALK21" s="17" t="s">
        <v>1039</v>
      </c>
      <c r="ALL21" s="14" t="s">
        <v>1038</v>
      </c>
      <c r="ALM21" s="17" t="s">
        <v>1038</v>
      </c>
      <c r="ALN21" s="14" t="s">
        <v>1039</v>
      </c>
      <c r="ALO21" s="17" t="s">
        <v>1036</v>
      </c>
      <c r="ALP21" s="14" t="s">
        <v>1036</v>
      </c>
      <c r="ALQ21" s="17" t="s">
        <v>1039</v>
      </c>
      <c r="ALR21" s="14" t="s">
        <v>1036</v>
      </c>
      <c r="ALS21" s="17" t="s">
        <v>1038</v>
      </c>
      <c r="ALT21" s="14" t="s">
        <v>1036</v>
      </c>
      <c r="ALU21" s="17" t="s">
        <v>1035</v>
      </c>
      <c r="ALV21" s="14" t="s">
        <v>1038</v>
      </c>
      <c r="ALW21" s="17" t="s">
        <v>1039</v>
      </c>
      <c r="ALX21" s="14" t="s">
        <v>1035</v>
      </c>
      <c r="ALY21" s="21" t="s">
        <v>1038</v>
      </c>
    </row>
    <row r="22" spans="1:1013" x14ac:dyDescent="0.25">
      <c r="A22" t="s">
        <v>30</v>
      </c>
      <c r="B22" s="1">
        <v>44940</v>
      </c>
      <c r="C22" t="s">
        <v>1011</v>
      </c>
      <c r="D22" t="s">
        <v>1018</v>
      </c>
      <c r="E22" t="s">
        <v>1025</v>
      </c>
      <c r="F22" t="s">
        <v>1033</v>
      </c>
      <c r="G22">
        <v>2</v>
      </c>
      <c r="H22">
        <v>35383</v>
      </c>
      <c r="I22">
        <v>5</v>
      </c>
      <c r="J22" t="s">
        <v>1035</v>
      </c>
      <c r="K22">
        <v>67227.7</v>
      </c>
      <c r="N22" s="14">
        <v>98420</v>
      </c>
      <c r="O22" s="17">
        <v>24105.599999999999</v>
      </c>
      <c r="P22" s="14">
        <v>17047.2</v>
      </c>
      <c r="Q22" s="17">
        <v>148420.79999999999</v>
      </c>
      <c r="R22" s="14">
        <v>105241</v>
      </c>
      <c r="S22" s="17">
        <v>149666.29999999999</v>
      </c>
      <c r="T22" s="14">
        <v>98169.2</v>
      </c>
      <c r="U22" s="17">
        <v>48906</v>
      </c>
      <c r="V22" s="14">
        <v>87015</v>
      </c>
      <c r="W22" s="17">
        <v>35221.25</v>
      </c>
      <c r="X22" s="14">
        <v>47286</v>
      </c>
      <c r="Y22" s="17">
        <v>134270.15</v>
      </c>
      <c r="Z22" s="14">
        <v>216614</v>
      </c>
      <c r="AA22" s="17">
        <v>75100.05</v>
      </c>
      <c r="AB22" s="14">
        <v>8546.1999999999989</v>
      </c>
      <c r="AC22" s="17">
        <v>397763.1</v>
      </c>
      <c r="AD22" s="14">
        <v>113904</v>
      </c>
      <c r="AE22" s="17">
        <v>158025</v>
      </c>
      <c r="AF22" s="14">
        <v>95958</v>
      </c>
      <c r="AG22" s="17">
        <v>202435.20000000001</v>
      </c>
      <c r="AH22" s="14">
        <v>67227.7</v>
      </c>
      <c r="AI22" s="17">
        <v>112852.8</v>
      </c>
      <c r="AJ22" s="14">
        <v>335527.2</v>
      </c>
      <c r="AK22" s="17">
        <v>79380</v>
      </c>
      <c r="AL22" s="14">
        <v>32888.800000000003</v>
      </c>
      <c r="AM22" s="17">
        <v>4091.05</v>
      </c>
      <c r="AN22" s="14">
        <v>32652</v>
      </c>
      <c r="AO22" s="17">
        <v>269115</v>
      </c>
      <c r="AP22" s="14">
        <v>488230</v>
      </c>
      <c r="AQ22" s="17">
        <v>67552</v>
      </c>
      <c r="AR22" s="14">
        <v>203290.5</v>
      </c>
      <c r="AS22" s="17">
        <v>38446.5</v>
      </c>
      <c r="AT22" s="14">
        <v>326970</v>
      </c>
      <c r="AU22" s="17">
        <v>205921</v>
      </c>
      <c r="AV22" s="14">
        <v>110714.4</v>
      </c>
      <c r="AW22" s="17">
        <v>365706</v>
      </c>
      <c r="AX22" s="14">
        <v>236605</v>
      </c>
      <c r="AY22" s="17">
        <v>75319.8</v>
      </c>
      <c r="AZ22" s="14">
        <v>123194.75</v>
      </c>
      <c r="BA22" s="17">
        <v>261766.39999999999</v>
      </c>
      <c r="BB22" s="14">
        <v>173928</v>
      </c>
      <c r="BC22" s="17">
        <v>97291.8</v>
      </c>
      <c r="BD22" s="14">
        <v>180703.2</v>
      </c>
      <c r="BE22" s="17">
        <v>110272.2</v>
      </c>
      <c r="BF22" s="14">
        <v>301276.79999999999</v>
      </c>
      <c r="BG22" s="17">
        <v>160863.5</v>
      </c>
      <c r="BH22" s="14">
        <v>38000</v>
      </c>
      <c r="BI22" s="17">
        <v>259925.4</v>
      </c>
      <c r="BJ22" s="14">
        <v>215870.4</v>
      </c>
      <c r="BK22" s="17">
        <v>201186</v>
      </c>
      <c r="BL22" s="14">
        <v>233142.35</v>
      </c>
      <c r="BM22" s="17">
        <v>207344.75</v>
      </c>
      <c r="BN22" s="14">
        <v>322308.40000000002</v>
      </c>
      <c r="BO22" s="17">
        <v>85728.45</v>
      </c>
      <c r="BP22" s="14">
        <v>316122</v>
      </c>
      <c r="BQ22" s="17">
        <v>38370</v>
      </c>
      <c r="BR22" s="14">
        <v>347973</v>
      </c>
      <c r="BS22" s="17">
        <v>52003.199999999997</v>
      </c>
      <c r="BT22" s="14">
        <v>80642.899999999994</v>
      </c>
      <c r="BU22" s="17">
        <v>100185</v>
      </c>
      <c r="BV22" s="14">
        <v>46525.599999999999</v>
      </c>
      <c r="BW22" s="17">
        <v>9430.65</v>
      </c>
      <c r="BX22" s="14">
        <v>58160.899999999987</v>
      </c>
      <c r="BY22" s="17">
        <v>14397.6</v>
      </c>
      <c r="BZ22" s="14">
        <v>106984.4</v>
      </c>
      <c r="CA22" s="17">
        <v>119671.5</v>
      </c>
      <c r="CB22" s="14">
        <v>22256.400000000001</v>
      </c>
      <c r="CC22" s="17">
        <v>355176</v>
      </c>
      <c r="CD22" s="14">
        <v>13857.65</v>
      </c>
      <c r="CE22" s="17">
        <v>105376.2</v>
      </c>
      <c r="CF22" s="14">
        <v>187350.45</v>
      </c>
      <c r="CG22" s="17">
        <v>202564.8</v>
      </c>
      <c r="CH22" s="14">
        <v>10748.7</v>
      </c>
      <c r="CI22" s="17">
        <v>195581.25</v>
      </c>
      <c r="CJ22" s="14">
        <v>193703.4</v>
      </c>
      <c r="CK22" s="17">
        <v>215043.9</v>
      </c>
      <c r="CL22" s="14">
        <v>342232</v>
      </c>
      <c r="CM22" s="17">
        <v>59660</v>
      </c>
      <c r="CN22" s="14">
        <v>8700</v>
      </c>
      <c r="CO22" s="17">
        <v>348162.3</v>
      </c>
      <c r="CP22" s="14">
        <v>134757.5</v>
      </c>
      <c r="CQ22" s="17">
        <v>46220</v>
      </c>
      <c r="CR22" s="14">
        <v>115763.2</v>
      </c>
      <c r="CS22" s="17">
        <v>30044.1</v>
      </c>
      <c r="CT22" s="14">
        <v>13884.75</v>
      </c>
      <c r="CU22" s="17">
        <v>20111.5</v>
      </c>
      <c r="CV22" s="14">
        <v>74444.400000000009</v>
      </c>
      <c r="CW22" s="17">
        <v>162478.5</v>
      </c>
      <c r="CX22" s="14">
        <v>266716.79999999999</v>
      </c>
      <c r="CY22" s="17">
        <v>35564.800000000003</v>
      </c>
      <c r="CZ22" s="14">
        <v>10647.6</v>
      </c>
      <c r="DA22" s="17">
        <v>40608</v>
      </c>
      <c r="DB22" s="14">
        <v>218243.5</v>
      </c>
      <c r="DC22" s="17">
        <v>109641.60000000001</v>
      </c>
      <c r="DD22" s="14">
        <v>112180.8</v>
      </c>
      <c r="DE22" s="17">
        <v>230465.25</v>
      </c>
      <c r="DF22" s="14">
        <v>436266</v>
      </c>
      <c r="DG22" s="17">
        <v>162707</v>
      </c>
      <c r="DH22" s="14">
        <v>198571.2</v>
      </c>
      <c r="DI22" s="17">
        <v>2471.8000000000002</v>
      </c>
      <c r="DJ22" s="14">
        <v>83191.5</v>
      </c>
      <c r="DK22" s="17">
        <v>21944</v>
      </c>
      <c r="DL22" s="14">
        <v>115566</v>
      </c>
      <c r="DM22" s="17">
        <v>196749.5</v>
      </c>
      <c r="DN22" s="14">
        <v>162255.6</v>
      </c>
      <c r="DO22" s="17">
        <v>323980</v>
      </c>
      <c r="DP22" s="14">
        <v>272816</v>
      </c>
      <c r="DQ22" s="17">
        <v>28471.5</v>
      </c>
      <c r="DR22" s="14">
        <v>123442.05</v>
      </c>
      <c r="DS22" s="17">
        <v>44532</v>
      </c>
      <c r="DT22" s="14">
        <v>166030.5</v>
      </c>
      <c r="DU22" s="17">
        <v>53678.400000000001</v>
      </c>
      <c r="DV22" s="14">
        <v>359989.2</v>
      </c>
      <c r="DW22" s="17">
        <v>199596.79999999999</v>
      </c>
      <c r="DX22" s="14">
        <v>275044</v>
      </c>
      <c r="DY22" s="17">
        <v>36737.599999999999</v>
      </c>
      <c r="DZ22" s="14">
        <v>219156</v>
      </c>
      <c r="EA22" s="17">
        <v>239088</v>
      </c>
      <c r="EB22" s="14">
        <v>248330</v>
      </c>
      <c r="EC22" s="17">
        <v>37368</v>
      </c>
      <c r="ED22" s="14">
        <v>89629.95</v>
      </c>
      <c r="EE22" s="17">
        <v>49480.800000000003</v>
      </c>
      <c r="EF22" s="14">
        <v>228144</v>
      </c>
      <c r="EG22" s="17">
        <v>288640.45</v>
      </c>
      <c r="EH22" s="14">
        <v>363568</v>
      </c>
      <c r="EI22" s="17">
        <v>184246</v>
      </c>
      <c r="EJ22" s="14">
        <v>222434.8</v>
      </c>
      <c r="EK22" s="17">
        <v>72238</v>
      </c>
      <c r="EL22" s="14">
        <v>3784.2</v>
      </c>
      <c r="EM22" s="17">
        <v>37352.400000000001</v>
      </c>
      <c r="EN22" s="14">
        <v>221388</v>
      </c>
      <c r="EO22" s="17">
        <v>183696</v>
      </c>
      <c r="EP22" s="14">
        <v>109147.2</v>
      </c>
      <c r="EQ22" s="17">
        <v>145038</v>
      </c>
      <c r="ER22" s="14">
        <v>22690.75</v>
      </c>
      <c r="ES22" s="17">
        <v>51224</v>
      </c>
      <c r="ET22" s="14">
        <v>184110</v>
      </c>
      <c r="EU22" s="17">
        <v>19164.599999999999</v>
      </c>
      <c r="EV22" s="14">
        <v>104517</v>
      </c>
      <c r="EW22" s="17">
        <v>194491.6</v>
      </c>
      <c r="EX22" s="14">
        <v>252354</v>
      </c>
      <c r="EY22" s="17">
        <v>360140</v>
      </c>
      <c r="EZ22" s="14">
        <v>90851.4</v>
      </c>
      <c r="FA22" s="17">
        <v>276616.8</v>
      </c>
      <c r="FB22" s="14">
        <v>270615.09999999998</v>
      </c>
      <c r="FC22" s="17">
        <v>67651.5</v>
      </c>
      <c r="FD22" s="14">
        <v>31872</v>
      </c>
      <c r="FE22" s="17">
        <v>32004.799999999999</v>
      </c>
      <c r="FF22" s="14">
        <v>25971</v>
      </c>
      <c r="FG22" s="17">
        <v>72090.2</v>
      </c>
      <c r="FH22" s="14">
        <v>200685</v>
      </c>
      <c r="FI22" s="17">
        <v>41060.9</v>
      </c>
      <c r="FJ22" s="14">
        <v>161568</v>
      </c>
      <c r="FK22" s="17">
        <v>8755.1999999999989</v>
      </c>
      <c r="FL22" s="14">
        <v>118389.6</v>
      </c>
      <c r="FM22" s="17">
        <v>47809.1</v>
      </c>
      <c r="FN22" s="14">
        <v>13376</v>
      </c>
      <c r="FO22" s="17">
        <v>67148</v>
      </c>
      <c r="FP22" s="14">
        <v>112703.2</v>
      </c>
      <c r="FQ22" s="17">
        <v>205351.2</v>
      </c>
      <c r="FR22" s="14">
        <v>24492.799999999999</v>
      </c>
      <c r="FS22" s="17">
        <v>20833</v>
      </c>
      <c r="FT22" s="14">
        <v>95533.2</v>
      </c>
      <c r="FU22" s="17">
        <v>270901.8</v>
      </c>
      <c r="FV22" s="14">
        <v>37461.599999999999</v>
      </c>
      <c r="FW22" s="17">
        <v>19950.400000000001</v>
      </c>
      <c r="FX22" s="14">
        <v>33420</v>
      </c>
      <c r="FY22" s="17">
        <v>204192</v>
      </c>
      <c r="FZ22" s="14">
        <v>9832.5</v>
      </c>
      <c r="GA22" s="17">
        <v>28488</v>
      </c>
      <c r="GB22" s="14">
        <v>39580.800000000003</v>
      </c>
      <c r="GC22" s="17">
        <v>135373.5</v>
      </c>
      <c r="GD22" s="14">
        <v>136640</v>
      </c>
      <c r="GE22" s="17">
        <v>8428.8000000000011</v>
      </c>
      <c r="GF22" s="14">
        <v>146839.5</v>
      </c>
      <c r="GG22" s="17">
        <v>270168</v>
      </c>
      <c r="GH22" s="14">
        <v>33291</v>
      </c>
      <c r="GI22" s="17">
        <v>34335.75</v>
      </c>
      <c r="GJ22" s="14">
        <v>188640.9</v>
      </c>
      <c r="GK22" s="17">
        <v>83344.2</v>
      </c>
      <c r="GL22" s="14">
        <v>39200.800000000003</v>
      </c>
      <c r="GM22" s="17">
        <v>35316</v>
      </c>
      <c r="GN22" s="14">
        <v>115230.6</v>
      </c>
      <c r="GO22" s="17">
        <v>121240.8</v>
      </c>
      <c r="GP22" s="14">
        <v>78964</v>
      </c>
      <c r="GQ22" s="17">
        <v>47609.600000000013</v>
      </c>
      <c r="GR22" s="14">
        <v>313434</v>
      </c>
      <c r="GS22" s="17">
        <v>181396</v>
      </c>
      <c r="GT22" s="14">
        <v>82909.349999999991</v>
      </c>
      <c r="GU22" s="17">
        <v>109797.2</v>
      </c>
      <c r="GV22" s="14">
        <v>130909.5</v>
      </c>
      <c r="GW22" s="17">
        <v>29027.25</v>
      </c>
      <c r="GX22" s="14">
        <v>74652</v>
      </c>
      <c r="GY22" s="17">
        <v>264000</v>
      </c>
      <c r="GZ22" s="14">
        <v>406053.5</v>
      </c>
      <c r="HA22" s="17">
        <v>225484.79999999999</v>
      </c>
      <c r="HB22" s="14">
        <v>81614.5</v>
      </c>
      <c r="HC22" s="17">
        <v>8438.85</v>
      </c>
      <c r="HD22" s="14">
        <v>173178</v>
      </c>
      <c r="HE22" s="17">
        <v>31468.5</v>
      </c>
      <c r="HF22" s="14">
        <v>207117</v>
      </c>
      <c r="HG22" s="17">
        <v>191745.6</v>
      </c>
      <c r="HH22" s="14">
        <v>45600.800000000003</v>
      </c>
      <c r="HI22" s="17">
        <v>185020.2</v>
      </c>
      <c r="HJ22" s="14">
        <v>126388</v>
      </c>
      <c r="HK22" s="17">
        <v>8046</v>
      </c>
      <c r="HL22" s="14">
        <v>55843.199999999997</v>
      </c>
      <c r="HM22" s="17">
        <v>158022</v>
      </c>
      <c r="HN22" s="14">
        <v>225353.7</v>
      </c>
      <c r="HO22" s="17">
        <v>296667</v>
      </c>
      <c r="HP22" s="14">
        <v>85912</v>
      </c>
      <c r="HQ22" s="17">
        <v>5935.2000000000007</v>
      </c>
      <c r="HR22" s="14">
        <v>194250</v>
      </c>
      <c r="HS22" s="17">
        <v>18237.599999999999</v>
      </c>
      <c r="HT22" s="14">
        <v>34293.599999999999</v>
      </c>
      <c r="HU22" s="17">
        <v>106214.39999999999</v>
      </c>
      <c r="HV22" s="14">
        <v>59478.3</v>
      </c>
      <c r="HW22" s="17">
        <v>72129.3</v>
      </c>
      <c r="HX22" s="14">
        <v>54472</v>
      </c>
      <c r="HY22" s="17">
        <v>142416</v>
      </c>
      <c r="HZ22" s="14">
        <v>172170</v>
      </c>
      <c r="IA22" s="17">
        <v>34088.85</v>
      </c>
      <c r="IB22" s="14">
        <v>149022</v>
      </c>
      <c r="IC22" s="17">
        <v>239264</v>
      </c>
      <c r="ID22" s="14">
        <v>224910</v>
      </c>
      <c r="IE22" s="17">
        <v>7403.5</v>
      </c>
      <c r="IF22" s="14">
        <v>125472.2</v>
      </c>
      <c r="IG22" s="17">
        <v>48532.5</v>
      </c>
      <c r="IH22" s="14">
        <v>113210</v>
      </c>
      <c r="II22" s="17">
        <v>75732</v>
      </c>
      <c r="IJ22" s="14">
        <v>8075.95</v>
      </c>
      <c r="IK22" s="17">
        <v>16191.9</v>
      </c>
      <c r="IL22" s="14">
        <v>250950</v>
      </c>
      <c r="IM22" s="17">
        <v>143165</v>
      </c>
      <c r="IN22" s="14">
        <v>206399.55</v>
      </c>
      <c r="IO22" s="17">
        <v>65911.95</v>
      </c>
      <c r="IP22" s="14">
        <v>96677.7</v>
      </c>
      <c r="IQ22" s="17">
        <v>204708</v>
      </c>
      <c r="IR22" s="14">
        <v>95832</v>
      </c>
      <c r="IS22" s="17">
        <v>99908.1</v>
      </c>
      <c r="IT22" s="14">
        <v>130138.4</v>
      </c>
      <c r="IU22" s="17">
        <v>105072.8</v>
      </c>
      <c r="IV22" s="14">
        <v>39052.6</v>
      </c>
      <c r="IW22" s="17">
        <v>200430</v>
      </c>
      <c r="IX22" s="14">
        <v>35215.199999999997</v>
      </c>
      <c r="IY22" s="17">
        <v>229806.85</v>
      </c>
      <c r="IZ22" s="14">
        <v>57949.599999999999</v>
      </c>
      <c r="JA22" s="17">
        <v>110016</v>
      </c>
      <c r="JB22" s="14">
        <v>51012</v>
      </c>
      <c r="JC22" s="17">
        <v>101678.5</v>
      </c>
      <c r="JD22" s="14">
        <v>205950</v>
      </c>
      <c r="JE22" s="17">
        <v>208791</v>
      </c>
      <c r="JF22" s="14">
        <v>173028.25</v>
      </c>
      <c r="JG22" s="17">
        <v>168414.4</v>
      </c>
      <c r="JH22" s="14">
        <v>15566.4</v>
      </c>
      <c r="JI22" s="17">
        <v>16190.8</v>
      </c>
      <c r="JJ22" s="14">
        <v>6960</v>
      </c>
      <c r="JK22" s="17">
        <v>85995</v>
      </c>
      <c r="JL22" s="14">
        <v>203710.5</v>
      </c>
      <c r="JM22" s="17">
        <v>7320.2</v>
      </c>
      <c r="JN22" s="14">
        <v>50828.800000000003</v>
      </c>
      <c r="JO22" s="17">
        <v>209112</v>
      </c>
      <c r="JP22" s="14">
        <v>28960</v>
      </c>
      <c r="JQ22" s="17">
        <v>28232.75</v>
      </c>
      <c r="JR22" s="14">
        <v>246058</v>
      </c>
      <c r="JS22" s="17">
        <v>192124.79999999999</v>
      </c>
      <c r="JT22" s="14">
        <v>40732.800000000003</v>
      </c>
      <c r="JU22" s="17">
        <v>268931.7</v>
      </c>
      <c r="JV22" s="14">
        <v>36060.300000000003</v>
      </c>
      <c r="JW22" s="17">
        <v>113561.1</v>
      </c>
      <c r="JX22" s="14">
        <v>38026.800000000003</v>
      </c>
      <c r="JY22" s="17">
        <v>395249.4</v>
      </c>
      <c r="JZ22" s="14">
        <v>39808.050000000003</v>
      </c>
      <c r="KA22" s="17">
        <v>81588.600000000006</v>
      </c>
      <c r="KB22" s="14">
        <v>74502</v>
      </c>
      <c r="KC22" s="17">
        <v>121530</v>
      </c>
      <c r="KD22" s="14">
        <v>102011</v>
      </c>
      <c r="KE22" s="17">
        <v>61503.3</v>
      </c>
      <c r="KF22" s="14">
        <v>100692</v>
      </c>
      <c r="KG22" s="17">
        <v>40562</v>
      </c>
      <c r="KH22" s="14">
        <v>170870.8</v>
      </c>
      <c r="KI22" s="17">
        <v>57539.199999999997</v>
      </c>
      <c r="KJ22" s="14">
        <v>17518.95</v>
      </c>
      <c r="KK22" s="17">
        <v>25215.200000000001</v>
      </c>
      <c r="KL22" s="14">
        <v>275112</v>
      </c>
      <c r="KM22" s="17">
        <v>36620.6</v>
      </c>
      <c r="KN22" s="14">
        <v>40407.300000000003</v>
      </c>
      <c r="KO22" s="17">
        <v>311106.95</v>
      </c>
      <c r="KP22" s="14">
        <v>150518</v>
      </c>
      <c r="KQ22" s="17">
        <v>56042.399999999987</v>
      </c>
      <c r="KR22" s="14">
        <v>185142</v>
      </c>
      <c r="KS22" s="17">
        <v>170728</v>
      </c>
      <c r="KT22" s="14">
        <v>41271.300000000003</v>
      </c>
      <c r="KU22" s="17">
        <v>207513.60000000001</v>
      </c>
      <c r="KV22" s="14">
        <v>90333.599999999991</v>
      </c>
      <c r="KW22" s="17">
        <v>80325</v>
      </c>
      <c r="KX22" s="14">
        <v>28653.3</v>
      </c>
      <c r="KY22" s="17">
        <v>72828</v>
      </c>
      <c r="KZ22" s="14">
        <v>104178.9</v>
      </c>
      <c r="LA22" s="17">
        <v>19794.2</v>
      </c>
      <c r="LB22" s="14">
        <v>298303.2</v>
      </c>
      <c r="LC22" s="17">
        <v>143288</v>
      </c>
      <c r="LD22" s="14">
        <v>67011.3</v>
      </c>
      <c r="LE22" s="17">
        <v>96102</v>
      </c>
      <c r="LF22" s="14">
        <v>61826</v>
      </c>
      <c r="LG22" s="17">
        <v>295148.7</v>
      </c>
      <c r="LH22" s="14">
        <v>37904.050000000003</v>
      </c>
      <c r="LI22" s="17">
        <v>36236.800000000003</v>
      </c>
      <c r="LJ22" s="14">
        <v>84675.4</v>
      </c>
      <c r="LK22" s="17">
        <v>171953.6</v>
      </c>
      <c r="LL22" s="14">
        <v>237232.8</v>
      </c>
      <c r="LM22" s="17">
        <v>11932</v>
      </c>
      <c r="LN22" s="14">
        <v>5283</v>
      </c>
      <c r="LO22" s="17">
        <v>109313.4</v>
      </c>
      <c r="LP22" s="14">
        <v>57106.400000000001</v>
      </c>
      <c r="LQ22" s="17">
        <v>45660.800000000003</v>
      </c>
      <c r="LR22" s="14">
        <v>247615.2</v>
      </c>
      <c r="LS22" s="17">
        <v>112417.2</v>
      </c>
      <c r="LT22" s="14">
        <v>92666.8</v>
      </c>
      <c r="LU22" s="17">
        <v>136486</v>
      </c>
      <c r="LV22" s="14">
        <v>95384</v>
      </c>
      <c r="LW22" s="17">
        <v>194937.60000000001</v>
      </c>
      <c r="LX22" s="14">
        <v>104387.4</v>
      </c>
      <c r="LY22" s="17">
        <v>8413.2000000000007</v>
      </c>
      <c r="LZ22" s="14">
        <v>262303.2</v>
      </c>
      <c r="MA22" s="17">
        <v>62734.5</v>
      </c>
      <c r="MB22" s="14">
        <v>44139.199999999997</v>
      </c>
      <c r="MC22" s="17">
        <v>227097.5</v>
      </c>
      <c r="MD22" s="14">
        <v>51270.400000000001</v>
      </c>
      <c r="ME22" s="17">
        <v>95013</v>
      </c>
      <c r="MF22" s="14">
        <v>134809.20000000001</v>
      </c>
      <c r="MG22" s="17">
        <v>261372</v>
      </c>
      <c r="MH22" s="14">
        <v>4800.8</v>
      </c>
      <c r="MI22" s="17">
        <v>83196</v>
      </c>
      <c r="MJ22" s="14">
        <v>68236.599999999991</v>
      </c>
      <c r="MK22" s="17">
        <v>99872</v>
      </c>
      <c r="ML22" s="14">
        <v>190869</v>
      </c>
      <c r="MM22" s="17">
        <v>214385.4</v>
      </c>
      <c r="MN22" s="14">
        <v>28095</v>
      </c>
      <c r="MO22" s="17">
        <v>42419.25</v>
      </c>
      <c r="MP22" s="14">
        <v>166756</v>
      </c>
      <c r="MQ22" s="17">
        <v>161215</v>
      </c>
      <c r="MR22" s="14">
        <v>62747</v>
      </c>
      <c r="MS22" s="17">
        <v>71952.3</v>
      </c>
      <c r="MT22" s="14">
        <v>130448</v>
      </c>
      <c r="MU22" s="17">
        <v>23537.7</v>
      </c>
      <c r="MV22" s="14">
        <v>5329</v>
      </c>
      <c r="MW22" s="17">
        <v>186632</v>
      </c>
      <c r="MX22" s="14">
        <v>111317.2</v>
      </c>
      <c r="MY22" s="17">
        <v>371880</v>
      </c>
      <c r="MZ22" s="14">
        <v>95349.6</v>
      </c>
      <c r="NA22" s="17">
        <v>166753.5</v>
      </c>
      <c r="NB22" s="14">
        <v>53155.8</v>
      </c>
      <c r="NC22" s="17">
        <v>145053.6</v>
      </c>
      <c r="ND22" s="14">
        <v>70278</v>
      </c>
      <c r="NE22" s="17">
        <v>293488</v>
      </c>
      <c r="NF22" s="14">
        <v>74384</v>
      </c>
      <c r="NG22" s="17">
        <v>140046</v>
      </c>
      <c r="NH22" s="14">
        <v>74058</v>
      </c>
      <c r="NI22" s="17">
        <v>35539.199999999997</v>
      </c>
      <c r="NJ22" s="14">
        <v>38150.550000000003</v>
      </c>
      <c r="NK22" s="17">
        <v>34792.800000000003</v>
      </c>
      <c r="NL22" s="14">
        <v>126110.25</v>
      </c>
      <c r="NM22" s="17">
        <v>386005.5</v>
      </c>
      <c r="NN22" s="14">
        <v>61808</v>
      </c>
      <c r="NO22" s="17">
        <v>78938.400000000009</v>
      </c>
      <c r="NP22" s="14">
        <v>54348.800000000003</v>
      </c>
      <c r="NQ22" s="17">
        <v>159232</v>
      </c>
      <c r="NR22" s="14">
        <v>216345.60000000001</v>
      </c>
      <c r="NS22" s="17">
        <v>239728.05</v>
      </c>
      <c r="NT22" s="14">
        <v>127241.1</v>
      </c>
      <c r="NU22" s="17">
        <v>254170.4</v>
      </c>
      <c r="NV22" s="14">
        <v>26636.400000000001</v>
      </c>
      <c r="NW22" s="17">
        <v>25650.45</v>
      </c>
      <c r="NX22" s="14">
        <v>79033.5</v>
      </c>
      <c r="NY22" s="17">
        <v>127122</v>
      </c>
      <c r="NZ22" s="14">
        <v>74503.8</v>
      </c>
      <c r="OA22" s="17">
        <v>25024.5</v>
      </c>
      <c r="OB22" s="14">
        <v>36186.300000000003</v>
      </c>
      <c r="OC22" s="17">
        <v>58507.199999999997</v>
      </c>
      <c r="OD22" s="14">
        <v>312290</v>
      </c>
      <c r="OE22" s="17">
        <v>288619.2</v>
      </c>
      <c r="OF22" s="14">
        <v>129160</v>
      </c>
      <c r="OG22" s="17">
        <v>192007.35</v>
      </c>
      <c r="OH22" s="14">
        <v>227079.2</v>
      </c>
      <c r="OI22" s="17">
        <v>147118</v>
      </c>
      <c r="OJ22" s="14">
        <v>376244</v>
      </c>
      <c r="OK22" s="17">
        <v>13578.3</v>
      </c>
      <c r="OL22" s="14">
        <v>59277.149999999987</v>
      </c>
      <c r="OM22" s="17">
        <v>77831.099999999991</v>
      </c>
      <c r="ON22" s="14">
        <v>51530.400000000001</v>
      </c>
      <c r="OO22" s="17">
        <v>296863.59999999998</v>
      </c>
      <c r="OP22" s="14">
        <v>170756</v>
      </c>
      <c r="OQ22" s="17">
        <v>8096</v>
      </c>
      <c r="OR22" s="14">
        <v>95535</v>
      </c>
      <c r="OS22" s="17">
        <v>126286.35</v>
      </c>
      <c r="OT22" s="14">
        <v>20480.099999999999</v>
      </c>
      <c r="OU22" s="17">
        <v>248556.6</v>
      </c>
      <c r="OV22" s="14">
        <v>91330.8</v>
      </c>
      <c r="OW22" s="17">
        <v>128659.2</v>
      </c>
      <c r="OX22" s="14">
        <v>119506.5</v>
      </c>
      <c r="OY22" s="17">
        <v>206710</v>
      </c>
      <c r="OZ22" s="14">
        <v>279900</v>
      </c>
      <c r="PA22" s="17">
        <v>154555.5</v>
      </c>
      <c r="PB22" s="14">
        <v>110584</v>
      </c>
      <c r="PC22" s="17">
        <v>14478</v>
      </c>
      <c r="PD22" s="14">
        <v>349321.95</v>
      </c>
      <c r="PE22" s="17">
        <v>137012.4</v>
      </c>
      <c r="PF22" s="14">
        <v>52639.65</v>
      </c>
      <c r="PG22" s="17">
        <v>36454.35</v>
      </c>
      <c r="PH22" s="14">
        <v>364280</v>
      </c>
      <c r="PI22" s="17">
        <v>106885.8</v>
      </c>
      <c r="PJ22" s="14">
        <v>235920</v>
      </c>
      <c r="PK22" s="17">
        <v>182555.8</v>
      </c>
      <c r="PL22" s="14">
        <v>134297.70000000001</v>
      </c>
      <c r="PM22" s="17">
        <v>13016.9</v>
      </c>
      <c r="PN22" s="14">
        <v>299795.84999999998</v>
      </c>
      <c r="PO22" s="17">
        <v>9651.6</v>
      </c>
      <c r="PP22" s="14">
        <v>131436.79999999999</v>
      </c>
      <c r="PQ22" s="17">
        <v>263550.15000000002</v>
      </c>
      <c r="PR22" s="14">
        <v>219912</v>
      </c>
      <c r="PS22" s="17">
        <v>75807.900000000009</v>
      </c>
      <c r="PT22" s="14">
        <v>48669.600000000013</v>
      </c>
      <c r="PU22" s="17">
        <v>45810</v>
      </c>
      <c r="PV22" s="14">
        <v>107087.25</v>
      </c>
      <c r="PW22" s="17">
        <v>177460.8</v>
      </c>
      <c r="PX22" s="14">
        <v>26661.95</v>
      </c>
      <c r="PY22" s="17">
        <v>6013.5</v>
      </c>
      <c r="PZ22" s="14">
        <v>94190</v>
      </c>
      <c r="QA22" s="17">
        <v>75404</v>
      </c>
      <c r="QB22" s="14">
        <v>209842.65</v>
      </c>
      <c r="QC22" s="17">
        <v>14740.2</v>
      </c>
      <c r="QD22" s="14">
        <v>17544.599999999999</v>
      </c>
      <c r="QE22" s="17">
        <v>7759.65</v>
      </c>
      <c r="QF22" s="14">
        <v>49248</v>
      </c>
      <c r="QG22" s="17">
        <v>26362.799999999999</v>
      </c>
      <c r="QH22" s="14">
        <v>159868</v>
      </c>
      <c r="QI22" s="17">
        <v>75384.399999999994</v>
      </c>
      <c r="QJ22" s="14">
        <v>182498.4</v>
      </c>
      <c r="QK22" s="17">
        <v>159501.20000000001</v>
      </c>
      <c r="QL22" s="14">
        <v>43696</v>
      </c>
      <c r="QM22" s="17">
        <v>47646</v>
      </c>
      <c r="QN22" s="14">
        <v>234774</v>
      </c>
      <c r="QO22" s="17">
        <v>164273.54999999999</v>
      </c>
      <c r="QP22" s="14">
        <v>208048</v>
      </c>
      <c r="QQ22" s="17">
        <v>212544</v>
      </c>
      <c r="QR22" s="14">
        <v>330516</v>
      </c>
      <c r="QS22" s="17">
        <v>118736</v>
      </c>
      <c r="QT22" s="14">
        <v>188768</v>
      </c>
      <c r="QU22" s="17">
        <v>9891.2000000000007</v>
      </c>
      <c r="QV22" s="14">
        <v>163817.1</v>
      </c>
      <c r="QW22" s="17">
        <v>36410.400000000001</v>
      </c>
      <c r="QX22" s="14">
        <v>113347.5</v>
      </c>
      <c r="QY22" s="17">
        <v>74800</v>
      </c>
      <c r="QZ22" s="14">
        <v>23583.599999999999</v>
      </c>
      <c r="RA22" s="17">
        <v>78755.200000000012</v>
      </c>
      <c r="RB22" s="14">
        <v>181395.20000000001</v>
      </c>
      <c r="RC22" s="17">
        <v>22220</v>
      </c>
      <c r="RD22" s="14">
        <v>143316</v>
      </c>
      <c r="RE22" s="17">
        <v>42667.35</v>
      </c>
      <c r="RF22" s="14">
        <v>44289.600000000013</v>
      </c>
      <c r="RG22" s="17">
        <v>88200</v>
      </c>
      <c r="RH22" s="14">
        <v>11704</v>
      </c>
      <c r="RI22" s="17">
        <v>30785.4</v>
      </c>
      <c r="RJ22" s="14">
        <v>36968.199999999997</v>
      </c>
      <c r="RK22" s="17">
        <v>19275.5</v>
      </c>
      <c r="RL22" s="14">
        <v>46962</v>
      </c>
      <c r="RM22" s="17">
        <v>412734.15</v>
      </c>
      <c r="RN22" s="14">
        <v>32896</v>
      </c>
      <c r="RO22" s="17">
        <v>79410.600000000006</v>
      </c>
      <c r="RP22" s="14">
        <v>133294.5</v>
      </c>
      <c r="RQ22" s="17">
        <v>16826.599999999999</v>
      </c>
      <c r="RR22" s="14">
        <v>23572.799999999999</v>
      </c>
      <c r="RS22" s="17">
        <v>89928</v>
      </c>
      <c r="RT22" s="14">
        <v>77562</v>
      </c>
      <c r="RU22" s="17">
        <v>50855.4</v>
      </c>
      <c r="RV22" s="14">
        <v>98835.200000000012</v>
      </c>
      <c r="RW22" s="17">
        <v>419157</v>
      </c>
      <c r="RX22" s="14">
        <v>227421.6</v>
      </c>
      <c r="RY22" s="17">
        <v>109812.4</v>
      </c>
      <c r="RZ22" s="14">
        <v>159011</v>
      </c>
      <c r="SA22" s="17">
        <v>115047</v>
      </c>
      <c r="SB22" s="14">
        <v>98492.800000000003</v>
      </c>
      <c r="SC22" s="17">
        <v>326657.5</v>
      </c>
      <c r="SD22" s="14">
        <v>69108</v>
      </c>
      <c r="SE22" s="17">
        <v>301149.90000000002</v>
      </c>
      <c r="SF22" s="14">
        <v>247001.4</v>
      </c>
      <c r="SG22" s="17">
        <v>165135.6</v>
      </c>
      <c r="SH22" s="14">
        <v>43713</v>
      </c>
      <c r="SI22" s="17">
        <v>142146</v>
      </c>
      <c r="SJ22" s="14">
        <v>79056</v>
      </c>
      <c r="SK22" s="17">
        <v>184556.79999999999</v>
      </c>
      <c r="SL22" s="14">
        <v>227477.6</v>
      </c>
      <c r="SM22" s="17">
        <v>2674.8</v>
      </c>
      <c r="SN22" s="14">
        <v>110793.75</v>
      </c>
      <c r="SO22" s="17">
        <v>100941</v>
      </c>
      <c r="SP22" s="14">
        <v>418103.55</v>
      </c>
      <c r="SQ22" s="17">
        <v>92484</v>
      </c>
      <c r="SR22" s="14">
        <v>386127</v>
      </c>
      <c r="SS22" s="17">
        <v>182957.4</v>
      </c>
      <c r="ST22" s="14">
        <v>47544.75</v>
      </c>
      <c r="SU22" s="17">
        <v>213618.6</v>
      </c>
      <c r="SV22" s="14">
        <v>331137</v>
      </c>
      <c r="SW22" s="17">
        <v>294659.59999999998</v>
      </c>
      <c r="SX22" s="14">
        <v>150294</v>
      </c>
      <c r="SY22" s="17">
        <v>18194.400000000001</v>
      </c>
      <c r="SZ22" s="14">
        <v>29762.55</v>
      </c>
      <c r="TA22" s="17">
        <v>183523.20000000001</v>
      </c>
      <c r="TB22" s="14">
        <v>186224.7</v>
      </c>
      <c r="TC22" s="17">
        <v>313846.75</v>
      </c>
      <c r="TD22" s="14">
        <v>140868</v>
      </c>
      <c r="TE22" s="17">
        <v>40396.800000000003</v>
      </c>
      <c r="TF22" s="14">
        <v>312224</v>
      </c>
      <c r="TG22" s="17">
        <v>104182.39999999999</v>
      </c>
      <c r="TH22" s="14">
        <v>370016</v>
      </c>
      <c r="TI22" s="17">
        <v>56223</v>
      </c>
      <c r="TJ22" s="14">
        <v>35057.4</v>
      </c>
      <c r="TK22" s="17">
        <v>290675.34999999998</v>
      </c>
      <c r="TL22" s="14">
        <v>440334</v>
      </c>
      <c r="TM22" s="17">
        <v>177490</v>
      </c>
      <c r="TN22" s="14">
        <v>110078.39999999999</v>
      </c>
      <c r="TO22" s="17">
        <v>251760</v>
      </c>
      <c r="TP22" s="14">
        <v>237170.4</v>
      </c>
      <c r="TQ22" s="17">
        <v>38600.1</v>
      </c>
      <c r="TR22" s="14">
        <v>31768.2</v>
      </c>
      <c r="TS22" s="17">
        <v>36882.9</v>
      </c>
      <c r="TT22" s="14">
        <v>32281</v>
      </c>
      <c r="TU22" s="17">
        <v>145103.5</v>
      </c>
      <c r="TV22" s="14">
        <v>25569.599999999999</v>
      </c>
      <c r="TW22" s="17">
        <v>304783.2</v>
      </c>
      <c r="TX22" s="14">
        <v>133938.9</v>
      </c>
      <c r="TY22" s="17">
        <v>211365.5</v>
      </c>
      <c r="TZ22" s="14">
        <v>40342.5</v>
      </c>
      <c r="UA22" s="17">
        <v>30585</v>
      </c>
      <c r="UB22" s="14">
        <v>183324</v>
      </c>
      <c r="UC22" s="17">
        <v>161610.20000000001</v>
      </c>
      <c r="UD22" s="14">
        <v>207115.2</v>
      </c>
      <c r="UE22" s="17">
        <v>37036.699999999997</v>
      </c>
      <c r="UF22" s="14">
        <v>102025.25</v>
      </c>
      <c r="UG22" s="17">
        <v>333525.59999999998</v>
      </c>
      <c r="UH22" s="14">
        <v>38115.9</v>
      </c>
      <c r="UI22" s="17">
        <v>201044.7</v>
      </c>
      <c r="UJ22" s="14">
        <v>342598.5</v>
      </c>
      <c r="UK22" s="17">
        <v>17060</v>
      </c>
      <c r="UL22" s="14">
        <v>80903.849999999991</v>
      </c>
      <c r="UM22" s="17">
        <v>61510</v>
      </c>
      <c r="UN22" s="14">
        <v>34597</v>
      </c>
      <c r="UO22" s="17">
        <v>254008</v>
      </c>
      <c r="UP22" s="14">
        <v>196936.5</v>
      </c>
      <c r="UQ22" s="17">
        <v>125182.05</v>
      </c>
      <c r="UR22" s="14">
        <v>68178</v>
      </c>
      <c r="US22" s="17">
        <v>135807.25</v>
      </c>
      <c r="UT22" s="14">
        <v>144768</v>
      </c>
      <c r="UU22" s="17">
        <v>203080</v>
      </c>
      <c r="UV22" s="14">
        <v>63849.600000000013</v>
      </c>
      <c r="UW22" s="17">
        <v>38326.400000000001</v>
      </c>
      <c r="UX22" s="14">
        <v>16575</v>
      </c>
      <c r="UY22" s="17">
        <v>197837.5</v>
      </c>
      <c r="UZ22" s="14">
        <v>80332</v>
      </c>
      <c r="VA22" s="17">
        <v>188343</v>
      </c>
      <c r="VB22" s="14">
        <v>340494</v>
      </c>
      <c r="VC22" s="17">
        <v>379430</v>
      </c>
      <c r="VD22" s="14">
        <v>65044.800000000003</v>
      </c>
      <c r="VE22" s="17">
        <v>10050</v>
      </c>
      <c r="VF22" s="14">
        <v>253446</v>
      </c>
      <c r="VG22" s="17">
        <v>256072</v>
      </c>
      <c r="VH22" s="14">
        <v>93333.6</v>
      </c>
      <c r="VI22" s="17">
        <v>91808</v>
      </c>
      <c r="VJ22" s="14">
        <v>308336</v>
      </c>
      <c r="VK22" s="17">
        <v>8325.7999999999993</v>
      </c>
      <c r="VL22" s="14">
        <v>418114</v>
      </c>
      <c r="VM22" s="17">
        <v>90540</v>
      </c>
      <c r="VN22" s="14">
        <v>49324</v>
      </c>
      <c r="VO22" s="17">
        <v>419150</v>
      </c>
      <c r="VP22" s="14">
        <v>18546.849999999999</v>
      </c>
      <c r="VQ22" s="17">
        <v>35632.800000000003</v>
      </c>
      <c r="VR22" s="14">
        <v>26215.200000000001</v>
      </c>
      <c r="VS22" s="17">
        <v>34597.800000000003</v>
      </c>
      <c r="VT22" s="14">
        <v>50279.4</v>
      </c>
      <c r="VU22" s="17">
        <v>226991.1</v>
      </c>
      <c r="VV22" s="14">
        <v>33807.199999999997</v>
      </c>
      <c r="VW22" s="17">
        <v>30734.400000000001</v>
      </c>
      <c r="VX22" s="14">
        <v>66568.399999999994</v>
      </c>
      <c r="VY22" s="17">
        <v>77488</v>
      </c>
      <c r="VZ22" s="14">
        <v>33084.800000000003</v>
      </c>
      <c r="WA22" s="17">
        <v>135891</v>
      </c>
      <c r="WB22" s="14">
        <v>19036</v>
      </c>
      <c r="WC22" s="17">
        <v>71356</v>
      </c>
      <c r="WD22" s="14">
        <v>17370</v>
      </c>
      <c r="WE22" s="17">
        <v>39672</v>
      </c>
      <c r="WF22" s="14">
        <v>47367</v>
      </c>
      <c r="WG22" s="17">
        <v>346890.6</v>
      </c>
      <c r="WH22" s="14">
        <v>111987</v>
      </c>
      <c r="WI22" s="17">
        <v>113378.7</v>
      </c>
      <c r="WJ22" s="14">
        <v>237254.39999999999</v>
      </c>
      <c r="WK22" s="17">
        <v>98136</v>
      </c>
      <c r="WL22" s="14">
        <v>176792</v>
      </c>
      <c r="WM22" s="17">
        <v>86272.349999999991</v>
      </c>
      <c r="WN22" s="14">
        <v>20186.400000000001</v>
      </c>
      <c r="WO22" s="17">
        <v>74339.3</v>
      </c>
      <c r="WP22" s="14">
        <v>130471.2</v>
      </c>
      <c r="WQ22" s="17">
        <v>375400</v>
      </c>
      <c r="WR22" s="14">
        <v>156550.5</v>
      </c>
      <c r="WS22" s="17">
        <v>250759.35</v>
      </c>
      <c r="WT22" s="14">
        <v>25698</v>
      </c>
      <c r="WU22" s="17">
        <v>135135.6</v>
      </c>
      <c r="WV22" s="14">
        <v>19958.400000000001</v>
      </c>
      <c r="WW22" s="17">
        <v>99739</v>
      </c>
      <c r="WX22" s="14">
        <v>38859.449999999997</v>
      </c>
      <c r="WY22" s="17">
        <v>29944.95</v>
      </c>
      <c r="WZ22" s="14">
        <v>96069.6</v>
      </c>
      <c r="XA22" s="17">
        <v>63281.399999999987</v>
      </c>
      <c r="XB22" s="14">
        <v>56953.4</v>
      </c>
      <c r="XC22" s="17">
        <v>224496</v>
      </c>
      <c r="XD22" s="14">
        <v>234999</v>
      </c>
      <c r="XE22" s="17">
        <v>16594</v>
      </c>
      <c r="XF22" s="14">
        <v>338872.05</v>
      </c>
      <c r="XG22" s="17">
        <v>208929</v>
      </c>
      <c r="XH22" s="14">
        <v>194316</v>
      </c>
      <c r="XI22" s="17">
        <v>81289.599999999991</v>
      </c>
      <c r="XJ22" s="14">
        <v>71179.849999999991</v>
      </c>
      <c r="XK22" s="17">
        <v>120025.8</v>
      </c>
      <c r="XL22" s="14">
        <v>244836.9</v>
      </c>
      <c r="XM22" s="17">
        <v>117904.8</v>
      </c>
      <c r="XN22" s="14">
        <v>70842</v>
      </c>
      <c r="XO22" s="17">
        <v>36480</v>
      </c>
      <c r="XP22" s="14">
        <v>349037.1</v>
      </c>
      <c r="XQ22" s="17">
        <v>62311.8</v>
      </c>
      <c r="XR22" s="14">
        <v>68808</v>
      </c>
      <c r="XS22" s="17">
        <v>26429.9</v>
      </c>
      <c r="XT22" s="14">
        <v>107847</v>
      </c>
      <c r="XU22" s="17">
        <v>106790.6</v>
      </c>
      <c r="XV22" s="14">
        <v>195350.39999999999</v>
      </c>
      <c r="XW22" s="17">
        <v>289890</v>
      </c>
      <c r="XX22" s="14">
        <v>158737.5</v>
      </c>
      <c r="XY22" s="17">
        <v>122405.6</v>
      </c>
      <c r="XZ22" s="14">
        <v>159676.79999999999</v>
      </c>
      <c r="YA22" s="17">
        <v>61028.3</v>
      </c>
      <c r="YB22" s="14">
        <v>73408.5</v>
      </c>
      <c r="YC22" s="17">
        <v>154045.5</v>
      </c>
      <c r="YD22" s="14">
        <v>261025.8</v>
      </c>
      <c r="YE22" s="17">
        <v>472420</v>
      </c>
      <c r="YF22" s="14">
        <v>45157.1</v>
      </c>
      <c r="YG22" s="17">
        <v>57783.6</v>
      </c>
      <c r="YH22" s="14">
        <v>121103.15</v>
      </c>
      <c r="YI22" s="17">
        <v>73584</v>
      </c>
      <c r="YJ22" s="14">
        <v>182391.3</v>
      </c>
      <c r="YK22" s="17">
        <v>176940</v>
      </c>
      <c r="YL22" s="14">
        <v>6041.8</v>
      </c>
      <c r="YM22" s="17">
        <v>101622.6</v>
      </c>
      <c r="YN22" s="14">
        <v>145982.39999999999</v>
      </c>
      <c r="YO22" s="17">
        <v>260350</v>
      </c>
      <c r="YP22" s="14">
        <v>45465</v>
      </c>
      <c r="YQ22" s="17">
        <v>103018</v>
      </c>
      <c r="YR22" s="14">
        <v>91162.5</v>
      </c>
      <c r="YS22" s="17">
        <v>233335.2</v>
      </c>
      <c r="YT22" s="14">
        <v>29504</v>
      </c>
      <c r="YU22" s="17">
        <v>59040</v>
      </c>
      <c r="YV22" s="14">
        <v>340271</v>
      </c>
      <c r="YW22" s="17">
        <v>128322</v>
      </c>
      <c r="YX22" s="14">
        <v>174153.60000000001</v>
      </c>
      <c r="YY22" s="17">
        <v>27832.15</v>
      </c>
      <c r="YZ22" s="14">
        <v>147628.79999999999</v>
      </c>
      <c r="ZA22" s="17">
        <v>166185.4</v>
      </c>
      <c r="ZB22" s="14">
        <v>90547.200000000012</v>
      </c>
      <c r="ZC22" s="17">
        <v>58527.6</v>
      </c>
      <c r="ZD22" s="14">
        <v>37432</v>
      </c>
      <c r="ZE22" s="17">
        <v>35155.699999999997</v>
      </c>
      <c r="ZF22" s="14">
        <v>6324</v>
      </c>
      <c r="ZG22" s="17">
        <v>60295.6</v>
      </c>
      <c r="ZH22" s="14">
        <v>394947</v>
      </c>
      <c r="ZI22" s="17">
        <v>94281.600000000006</v>
      </c>
      <c r="ZJ22" s="14">
        <v>106536</v>
      </c>
      <c r="ZK22" s="17">
        <v>28097.1</v>
      </c>
      <c r="ZL22" s="14">
        <v>230800.5</v>
      </c>
      <c r="ZM22" s="17">
        <v>30322.799999999999</v>
      </c>
      <c r="ZN22" s="14">
        <v>208772.75</v>
      </c>
      <c r="ZO22" s="17">
        <v>288204.79999999999</v>
      </c>
      <c r="ZP22" s="14">
        <v>269157.59999999998</v>
      </c>
      <c r="ZQ22" s="17">
        <v>11707.9</v>
      </c>
      <c r="ZR22" s="14">
        <v>168360</v>
      </c>
      <c r="ZS22" s="17">
        <v>83203.199999999997</v>
      </c>
      <c r="ZT22" s="14">
        <v>388289.7</v>
      </c>
      <c r="ZU22" s="17">
        <v>157209.20000000001</v>
      </c>
      <c r="ZV22" s="14">
        <v>51164</v>
      </c>
      <c r="ZW22" s="17">
        <v>193770</v>
      </c>
      <c r="ZX22" s="14">
        <v>298792.8</v>
      </c>
      <c r="ZY22" s="17">
        <v>7195.25</v>
      </c>
      <c r="ZZ22" s="14">
        <v>344953.8</v>
      </c>
      <c r="AAA22" s="17">
        <v>11818</v>
      </c>
      <c r="AAB22" s="14">
        <v>51803.5</v>
      </c>
      <c r="AAC22" s="17">
        <v>5349</v>
      </c>
      <c r="AAD22" s="14">
        <v>27951</v>
      </c>
      <c r="AAE22" s="17">
        <v>51814</v>
      </c>
      <c r="AAF22" s="14">
        <v>354230</v>
      </c>
      <c r="AAG22" s="17">
        <v>59738.85</v>
      </c>
      <c r="AAH22" s="14">
        <v>45924</v>
      </c>
      <c r="AAI22" s="17">
        <v>143568.75</v>
      </c>
      <c r="AAJ22" s="14">
        <v>61291.8</v>
      </c>
      <c r="AAK22" s="17">
        <v>12303.2</v>
      </c>
      <c r="AAL22" s="14">
        <v>218385</v>
      </c>
      <c r="AAM22" s="17">
        <v>74350.8</v>
      </c>
      <c r="AAN22" s="14">
        <v>157572</v>
      </c>
      <c r="AAO22" s="17">
        <v>54612</v>
      </c>
      <c r="AAP22" s="14">
        <v>2584</v>
      </c>
      <c r="AAQ22" s="17">
        <v>20424</v>
      </c>
      <c r="AAR22" s="14">
        <v>41592</v>
      </c>
      <c r="AAS22" s="17">
        <v>11240</v>
      </c>
      <c r="AAT22" s="14">
        <v>28125.65</v>
      </c>
      <c r="AAU22" s="17">
        <v>169732.25</v>
      </c>
      <c r="AAV22" s="14">
        <v>250976.7</v>
      </c>
      <c r="AAW22" s="17">
        <v>27376.2</v>
      </c>
      <c r="AAX22" s="14">
        <v>34238.85</v>
      </c>
      <c r="AAY22" s="17">
        <v>181972.25</v>
      </c>
      <c r="AAZ22" s="14">
        <v>50293.600000000013</v>
      </c>
      <c r="ABA22" s="17">
        <v>170654.4</v>
      </c>
      <c r="ABB22" s="14">
        <v>49627.199999999997</v>
      </c>
      <c r="ABC22" s="17">
        <v>53954.1</v>
      </c>
      <c r="ABD22" s="14">
        <v>65004.800000000003</v>
      </c>
      <c r="ABE22" s="17">
        <v>45662.400000000001</v>
      </c>
      <c r="ABF22" s="14">
        <v>205104</v>
      </c>
      <c r="ABG22" s="17">
        <v>440170</v>
      </c>
      <c r="ABH22" s="14">
        <v>332476.65000000002</v>
      </c>
      <c r="ABI22" s="17">
        <v>76194</v>
      </c>
      <c r="ABJ22" s="14">
        <v>33425.4</v>
      </c>
      <c r="ABK22" s="17">
        <v>28097.599999999999</v>
      </c>
      <c r="ABL22" s="14">
        <v>377379</v>
      </c>
      <c r="ABM22" s="17">
        <v>88910</v>
      </c>
      <c r="ABN22" s="14">
        <v>134655.29999999999</v>
      </c>
      <c r="ABO22" s="17">
        <v>17258.400000000001</v>
      </c>
      <c r="ABP22" s="14">
        <v>31602</v>
      </c>
      <c r="ABQ22" s="17">
        <v>177140</v>
      </c>
      <c r="ABR22" s="14">
        <v>50975.1</v>
      </c>
      <c r="ABS22" s="17">
        <v>171452</v>
      </c>
      <c r="ABT22" s="14">
        <v>165866.4</v>
      </c>
      <c r="ABU22" s="17">
        <v>145258.79999999999</v>
      </c>
      <c r="ABV22" s="14">
        <v>172442.9</v>
      </c>
      <c r="ABW22" s="17">
        <v>118230.75</v>
      </c>
      <c r="ABX22" s="14">
        <v>42512.5</v>
      </c>
      <c r="ABY22" s="17">
        <v>119847.6</v>
      </c>
      <c r="ABZ22" s="14">
        <v>91106.4</v>
      </c>
      <c r="ACA22" s="17">
        <v>59231.4</v>
      </c>
      <c r="ACB22" s="14">
        <v>29245</v>
      </c>
      <c r="ACC22" s="17">
        <v>61350.400000000001</v>
      </c>
      <c r="ACD22" s="14">
        <v>38923.199999999997</v>
      </c>
      <c r="ACE22" s="17">
        <v>104348</v>
      </c>
      <c r="ACF22" s="14">
        <v>21172.799999999999</v>
      </c>
      <c r="ACG22" s="17">
        <v>91200</v>
      </c>
      <c r="ACH22" s="14">
        <v>29369.200000000001</v>
      </c>
      <c r="ACI22" s="17">
        <v>15234.55</v>
      </c>
      <c r="ACJ22" s="14">
        <v>132084</v>
      </c>
      <c r="ACK22" s="17">
        <v>60135</v>
      </c>
      <c r="ACL22" s="14">
        <v>95593.600000000006</v>
      </c>
      <c r="ACM22" s="17">
        <v>16644</v>
      </c>
      <c r="ACN22" s="14">
        <v>169447.5</v>
      </c>
      <c r="ACO22" s="17">
        <v>89151.3</v>
      </c>
      <c r="ACP22" s="14">
        <v>104539.8</v>
      </c>
      <c r="ACQ22" s="17">
        <v>42769.600000000013</v>
      </c>
      <c r="ACR22" s="14">
        <v>75529.3</v>
      </c>
      <c r="ACS22" s="17">
        <v>311774.40000000002</v>
      </c>
      <c r="ACT22" s="14">
        <v>299223</v>
      </c>
      <c r="ACU22" s="17">
        <v>29181.599999999999</v>
      </c>
      <c r="ACV22" s="14">
        <v>65696.400000000009</v>
      </c>
      <c r="ACW22" s="17">
        <v>145720</v>
      </c>
      <c r="ACX22" s="14">
        <v>292620</v>
      </c>
      <c r="ACY22" s="17">
        <v>36748.800000000003</v>
      </c>
      <c r="ACZ22" s="14">
        <v>288652</v>
      </c>
      <c r="ADA22" s="17">
        <v>205014.75</v>
      </c>
      <c r="ADB22" s="14">
        <v>71667</v>
      </c>
      <c r="ADC22" s="17">
        <v>161670.6</v>
      </c>
      <c r="ADD22" s="14">
        <v>306457.59999999998</v>
      </c>
      <c r="ADE22" s="17">
        <v>161757</v>
      </c>
      <c r="ADF22" s="14">
        <v>20976.3</v>
      </c>
      <c r="ADG22" s="17">
        <v>11165.6</v>
      </c>
      <c r="ADH22" s="14">
        <v>17334</v>
      </c>
      <c r="ADI22" s="17">
        <v>47719</v>
      </c>
      <c r="ADJ22" s="14">
        <v>311388.3</v>
      </c>
      <c r="ADK22" s="17">
        <v>175248</v>
      </c>
      <c r="ADL22" s="14">
        <v>44428.65</v>
      </c>
      <c r="ADM22" s="17">
        <v>135994.5</v>
      </c>
      <c r="ADN22" s="14">
        <v>20061</v>
      </c>
      <c r="ADO22" s="17">
        <v>95808.45</v>
      </c>
      <c r="ADP22" s="14">
        <v>71520.75</v>
      </c>
      <c r="ADQ22" s="17">
        <v>124790.1</v>
      </c>
      <c r="ADR22" s="14">
        <v>386685</v>
      </c>
      <c r="ADS22" s="17">
        <v>2534.4</v>
      </c>
      <c r="ADT22" s="14">
        <v>20874</v>
      </c>
      <c r="ADU22" s="17">
        <v>89110</v>
      </c>
      <c r="ADV22" s="14">
        <v>215379</v>
      </c>
      <c r="ADW22" s="17">
        <v>166149</v>
      </c>
      <c r="ADX22" s="14">
        <v>19683</v>
      </c>
      <c r="ADY22" s="17">
        <v>133602.29999999999</v>
      </c>
      <c r="ADZ22" s="14">
        <v>135690</v>
      </c>
      <c r="AEA22" s="17">
        <v>63950.400000000001</v>
      </c>
      <c r="AEB22" s="14">
        <v>34793.1</v>
      </c>
      <c r="AEC22" s="17">
        <v>7452</v>
      </c>
      <c r="AED22" s="14">
        <v>206917.2</v>
      </c>
      <c r="AEE22" s="17">
        <v>281869.34999999998</v>
      </c>
      <c r="AEF22" s="14">
        <v>132628</v>
      </c>
      <c r="AEG22" s="17">
        <v>206944</v>
      </c>
      <c r="AEH22" s="14">
        <v>125702.25</v>
      </c>
      <c r="AEI22" s="17">
        <v>74169</v>
      </c>
      <c r="AEJ22" s="14">
        <v>194776</v>
      </c>
      <c r="AEK22" s="17">
        <v>9509.7999999999993</v>
      </c>
      <c r="AEL22" s="14">
        <v>87352.8</v>
      </c>
      <c r="AEM22" s="17">
        <v>47403</v>
      </c>
      <c r="AEN22" s="14">
        <v>1094.4000000000001</v>
      </c>
      <c r="AEO22" s="17">
        <v>222640.5</v>
      </c>
      <c r="AEP22" s="14">
        <v>369368</v>
      </c>
      <c r="AEQ22" s="17">
        <v>138516</v>
      </c>
      <c r="AER22" s="14">
        <v>80487</v>
      </c>
      <c r="AES22" s="17">
        <v>305392</v>
      </c>
      <c r="AET22" s="14">
        <v>360810</v>
      </c>
      <c r="AEU22" s="17">
        <v>83374.8</v>
      </c>
      <c r="AEV22" s="14">
        <v>228520</v>
      </c>
      <c r="AEW22" s="17">
        <v>173599.2</v>
      </c>
      <c r="AEX22" s="14">
        <v>75045.600000000006</v>
      </c>
      <c r="AEY22" s="17">
        <v>23165.9</v>
      </c>
      <c r="AEZ22" s="14">
        <v>22161.599999999999</v>
      </c>
      <c r="AFA22" s="17">
        <v>76384.800000000003</v>
      </c>
      <c r="AFB22" s="14">
        <v>329885.59999999998</v>
      </c>
      <c r="AFC22" s="17">
        <v>16658.400000000001</v>
      </c>
      <c r="AFD22" s="14">
        <v>202038.3</v>
      </c>
      <c r="AFE22" s="17">
        <v>324333</v>
      </c>
      <c r="AFF22" s="14">
        <v>158344.79999999999</v>
      </c>
      <c r="AFG22" s="17">
        <v>35750.400000000001</v>
      </c>
      <c r="AFH22" s="14">
        <v>79361.099999999991</v>
      </c>
      <c r="AFI22" s="17">
        <v>140014</v>
      </c>
      <c r="AFJ22" s="14">
        <v>278099.20000000001</v>
      </c>
      <c r="AFK22" s="17">
        <v>108763.6</v>
      </c>
      <c r="AFL22" s="14">
        <v>33949.800000000003</v>
      </c>
      <c r="AFM22" s="17">
        <v>100812.6</v>
      </c>
      <c r="AFN22" s="14">
        <v>14308</v>
      </c>
      <c r="AFO22" s="17">
        <v>94233.600000000006</v>
      </c>
      <c r="AFP22" s="14">
        <v>35440.800000000003</v>
      </c>
      <c r="AFQ22" s="17">
        <v>80426.149999999994</v>
      </c>
      <c r="AFR22" s="14">
        <v>19556.7</v>
      </c>
      <c r="AFS22" s="17">
        <v>186420</v>
      </c>
      <c r="AFT22" s="14">
        <v>185955</v>
      </c>
      <c r="AFU22" s="17">
        <v>25590.400000000001</v>
      </c>
      <c r="AFV22" s="14">
        <v>169312</v>
      </c>
      <c r="AFW22" s="17">
        <v>147657.60000000001</v>
      </c>
      <c r="AFX22" s="14">
        <v>44179.199999999997</v>
      </c>
      <c r="AFY22" s="17">
        <v>88784.1</v>
      </c>
      <c r="AFZ22" s="14">
        <v>52488</v>
      </c>
      <c r="AGA22" s="17">
        <v>339760</v>
      </c>
      <c r="AGB22" s="14">
        <v>190099.20000000001</v>
      </c>
      <c r="AGC22" s="17">
        <v>250869</v>
      </c>
      <c r="AGD22" s="14">
        <v>91228.800000000003</v>
      </c>
      <c r="AGE22" s="17">
        <v>38649.800000000003</v>
      </c>
      <c r="AGF22" s="14">
        <v>21035.7</v>
      </c>
      <c r="AGG22" s="17">
        <v>95578</v>
      </c>
      <c r="AGH22" s="14">
        <v>2395.8000000000002</v>
      </c>
      <c r="AGI22" s="17">
        <v>385344</v>
      </c>
      <c r="AGJ22" s="14">
        <v>251111.7</v>
      </c>
      <c r="AGK22" s="17">
        <v>84807.9</v>
      </c>
      <c r="AGL22" s="14">
        <v>185147.2</v>
      </c>
      <c r="AGM22" s="17">
        <v>238302</v>
      </c>
      <c r="AGN22" s="14">
        <v>48716</v>
      </c>
      <c r="AGO22" s="17">
        <v>309612.5</v>
      </c>
      <c r="AGP22" s="14">
        <v>330219.90000000002</v>
      </c>
      <c r="AGQ22" s="17">
        <v>171452.7</v>
      </c>
      <c r="AGR22" s="14">
        <v>26997.599999999999</v>
      </c>
      <c r="AGS22" s="17">
        <v>259142.39999999999</v>
      </c>
      <c r="AGT22" s="14">
        <v>51756.5</v>
      </c>
      <c r="AGU22" s="17">
        <v>13280</v>
      </c>
      <c r="AGV22" s="14">
        <v>26045.200000000001</v>
      </c>
      <c r="AGW22" s="17">
        <v>23235</v>
      </c>
      <c r="AGX22" s="14">
        <v>14953.6</v>
      </c>
      <c r="AGY22" s="17">
        <v>197778.6</v>
      </c>
      <c r="AGZ22" s="14">
        <v>347414.4</v>
      </c>
      <c r="AHA22" s="17">
        <v>22639.75</v>
      </c>
      <c r="AHB22" s="14">
        <v>26196.25</v>
      </c>
      <c r="AHC22" s="17">
        <v>66899.25</v>
      </c>
      <c r="AHD22" s="14">
        <v>93693.6</v>
      </c>
      <c r="AHE22" s="17">
        <v>315720</v>
      </c>
      <c r="AHF22" s="14">
        <v>35786.400000000001</v>
      </c>
      <c r="AHG22" s="17">
        <v>119962.2</v>
      </c>
      <c r="AHH22" s="14">
        <v>124156</v>
      </c>
      <c r="AHI22" s="17">
        <v>363504</v>
      </c>
      <c r="AHJ22" s="14">
        <v>202518.39999999999</v>
      </c>
      <c r="AHK22" s="17">
        <v>51114.75</v>
      </c>
      <c r="AHL22" s="14">
        <v>223042.5</v>
      </c>
      <c r="AHM22" s="17">
        <v>264982.40000000002</v>
      </c>
      <c r="AHN22" s="14">
        <v>46363.8</v>
      </c>
      <c r="AHO22" s="17">
        <v>38038</v>
      </c>
      <c r="AHP22" s="14">
        <v>16226</v>
      </c>
      <c r="AHQ22" s="17">
        <v>442791</v>
      </c>
      <c r="AHR22" s="14">
        <v>8737.15</v>
      </c>
      <c r="AHS22" s="17">
        <v>252756</v>
      </c>
      <c r="AHT22" s="14">
        <v>118392.3</v>
      </c>
      <c r="AHU22" s="17">
        <v>17992</v>
      </c>
      <c r="AHV22" s="14">
        <v>242295.6</v>
      </c>
      <c r="AHW22" s="17">
        <v>70592.5</v>
      </c>
      <c r="AHX22" s="14">
        <v>32408.1</v>
      </c>
      <c r="AHY22" s="17">
        <v>30427.200000000001</v>
      </c>
      <c r="AHZ22" s="14">
        <v>133836</v>
      </c>
      <c r="AIA22" s="17">
        <v>391662</v>
      </c>
      <c r="AIB22" s="14">
        <v>68788.800000000003</v>
      </c>
      <c r="AIC22" s="17">
        <v>5531.8499999999995</v>
      </c>
      <c r="AID22" s="14">
        <v>73113.599999999991</v>
      </c>
      <c r="AIE22" s="17">
        <v>282372.3</v>
      </c>
      <c r="AIF22" s="14">
        <v>25644</v>
      </c>
      <c r="AIG22" s="17">
        <v>160671.6</v>
      </c>
      <c r="AIH22" s="14">
        <v>7007.2</v>
      </c>
      <c r="AII22" s="17">
        <v>92688</v>
      </c>
      <c r="AIJ22" s="14">
        <v>312033.2</v>
      </c>
      <c r="AIK22" s="17">
        <v>109674</v>
      </c>
      <c r="AIL22" s="14">
        <v>135095.6</v>
      </c>
      <c r="AIM22" s="17">
        <v>35298.800000000003</v>
      </c>
      <c r="AIN22" s="14">
        <v>12748.8</v>
      </c>
      <c r="AIO22" s="17">
        <v>36048.5</v>
      </c>
      <c r="AIP22" s="14">
        <v>171258</v>
      </c>
      <c r="AIQ22" s="17">
        <v>119976</v>
      </c>
      <c r="AIR22" s="14">
        <v>78555.5</v>
      </c>
      <c r="AIS22" s="17">
        <v>29364.5</v>
      </c>
      <c r="AIT22" s="14">
        <v>9243</v>
      </c>
      <c r="AIU22" s="17">
        <v>108528</v>
      </c>
      <c r="AIV22" s="14">
        <v>173592</v>
      </c>
      <c r="AIW22" s="17">
        <v>41594.400000000001</v>
      </c>
      <c r="AIX22" s="14">
        <v>399816</v>
      </c>
      <c r="AIY22" s="17">
        <v>254570.4</v>
      </c>
      <c r="AIZ22" s="14">
        <v>233808.3</v>
      </c>
      <c r="AJA22" s="17">
        <v>222490</v>
      </c>
      <c r="AJB22" s="14">
        <v>22735.8</v>
      </c>
      <c r="AJC22" s="17">
        <v>320824</v>
      </c>
      <c r="AJD22" s="14">
        <v>348714</v>
      </c>
      <c r="AJE22" s="17">
        <v>257425</v>
      </c>
      <c r="AJF22" s="14">
        <v>9000</v>
      </c>
      <c r="AJG22" s="17">
        <v>52980</v>
      </c>
      <c r="AJH22" s="14">
        <v>80859.600000000006</v>
      </c>
      <c r="AJI22" s="17">
        <v>39870</v>
      </c>
      <c r="AJJ22" s="14">
        <v>101663.4</v>
      </c>
      <c r="AJK22" s="17">
        <v>33390.9</v>
      </c>
      <c r="AJL22" s="14">
        <v>68961</v>
      </c>
      <c r="AJM22" s="17">
        <v>13114.65</v>
      </c>
      <c r="AJN22" s="14">
        <v>8467.35</v>
      </c>
      <c r="AJO22" s="17">
        <v>126010.85</v>
      </c>
      <c r="AJP22" s="14">
        <v>51280</v>
      </c>
      <c r="AJQ22" s="17">
        <v>112828</v>
      </c>
      <c r="AJR22" s="14">
        <v>76883.199999999997</v>
      </c>
      <c r="AJS22" s="17">
        <v>233160</v>
      </c>
      <c r="AJT22" s="14">
        <v>60583.199999999997</v>
      </c>
      <c r="AJU22" s="17">
        <v>59628.800000000003</v>
      </c>
      <c r="AJV22" s="14">
        <v>28351.200000000001</v>
      </c>
      <c r="AJW22" s="17">
        <v>107092.8</v>
      </c>
      <c r="AJX22" s="14">
        <v>14421.95</v>
      </c>
      <c r="AJY22" s="17">
        <v>391410</v>
      </c>
      <c r="AJZ22" s="14">
        <v>17418.25</v>
      </c>
      <c r="AKA22" s="17">
        <v>7792</v>
      </c>
      <c r="AKB22" s="14">
        <v>60408</v>
      </c>
      <c r="AKC22" s="17">
        <v>305503.2</v>
      </c>
      <c r="AKD22" s="14">
        <v>296179.20000000001</v>
      </c>
      <c r="AKE22" s="17">
        <v>184680</v>
      </c>
      <c r="AKF22" s="14">
        <v>9637.2999999999993</v>
      </c>
      <c r="AKG22" s="17">
        <v>19228</v>
      </c>
      <c r="AKH22" s="14">
        <v>223808.4</v>
      </c>
      <c r="AKI22" s="17">
        <v>23902</v>
      </c>
      <c r="AKJ22" s="14">
        <v>5380.8</v>
      </c>
      <c r="AKK22" s="17">
        <v>14730</v>
      </c>
      <c r="AKL22" s="14">
        <v>96960.799999999988</v>
      </c>
      <c r="AKM22" s="17">
        <v>51991.6</v>
      </c>
      <c r="AKN22" s="14">
        <v>298090.8</v>
      </c>
      <c r="AKO22" s="17">
        <v>297248.40000000002</v>
      </c>
      <c r="AKP22" s="14">
        <v>67847</v>
      </c>
      <c r="AKQ22" s="17">
        <v>176346</v>
      </c>
      <c r="AKR22" s="14">
        <v>226216</v>
      </c>
      <c r="AKS22" s="17">
        <v>46449</v>
      </c>
      <c r="AKT22" s="14">
        <v>109463</v>
      </c>
      <c r="AKU22" s="17">
        <v>333892.8</v>
      </c>
      <c r="AKV22" s="14">
        <v>41922</v>
      </c>
      <c r="AKW22" s="17">
        <v>145100</v>
      </c>
      <c r="AKX22" s="14">
        <v>84053.7</v>
      </c>
      <c r="AKY22" s="17">
        <v>137379.20000000001</v>
      </c>
      <c r="AKZ22" s="14">
        <v>15942.6</v>
      </c>
      <c r="ALA22" s="17">
        <v>89966.55</v>
      </c>
      <c r="ALB22" s="14">
        <v>86976.3</v>
      </c>
      <c r="ALC22" s="17">
        <v>25201.8</v>
      </c>
      <c r="ALD22" s="14">
        <v>95070.299999999988</v>
      </c>
      <c r="ALE22" s="17">
        <v>11195.1</v>
      </c>
      <c r="ALF22" s="14">
        <v>104580.6</v>
      </c>
      <c r="ALG22" s="17">
        <v>41696.1</v>
      </c>
      <c r="ALH22" s="14">
        <v>31185</v>
      </c>
      <c r="ALI22" s="17">
        <v>400770</v>
      </c>
      <c r="ALJ22" s="14">
        <v>51184</v>
      </c>
      <c r="ALK22" s="17">
        <v>288012</v>
      </c>
      <c r="ALL22" s="14">
        <v>67520</v>
      </c>
      <c r="ALM22" s="17">
        <v>39055.449999999997</v>
      </c>
      <c r="ALN22" s="14">
        <v>12182.4</v>
      </c>
      <c r="ALO22" s="17">
        <v>235776.8</v>
      </c>
      <c r="ALP22" s="14">
        <v>52884.45</v>
      </c>
      <c r="ALQ22" s="17">
        <v>64249.2</v>
      </c>
      <c r="ALR22" s="14">
        <v>128002.5</v>
      </c>
      <c r="ALS22" s="17">
        <v>12990</v>
      </c>
      <c r="ALT22" s="14">
        <v>300400</v>
      </c>
      <c r="ALU22" s="17">
        <v>156199</v>
      </c>
      <c r="ALV22" s="14">
        <v>103856.4</v>
      </c>
      <c r="ALW22" s="17">
        <v>22185</v>
      </c>
      <c r="ALX22" s="14">
        <v>285976</v>
      </c>
      <c r="ALY22" s="21">
        <v>61795</v>
      </c>
    </row>
    <row r="23" spans="1:1013" x14ac:dyDescent="0.25">
      <c r="A23" t="s">
        <v>31</v>
      </c>
      <c r="B23" s="1">
        <v>45214</v>
      </c>
      <c r="C23" t="s">
        <v>1010</v>
      </c>
      <c r="D23" t="s">
        <v>1019</v>
      </c>
      <c r="E23" t="s">
        <v>1023</v>
      </c>
      <c r="F23" t="s">
        <v>1034</v>
      </c>
      <c r="G23">
        <v>9</v>
      </c>
      <c r="H23">
        <v>14752</v>
      </c>
      <c r="I23">
        <v>15</v>
      </c>
      <c r="J23" t="s">
        <v>1039</v>
      </c>
      <c r="K23">
        <v>112852.8</v>
      </c>
      <c r="N23" s="15"/>
      <c r="O23" s="18"/>
      <c r="P23" s="15"/>
      <c r="Q23" s="18"/>
      <c r="R23" s="15"/>
      <c r="S23" s="18"/>
      <c r="T23" s="15"/>
      <c r="U23" s="18"/>
      <c r="V23" s="15"/>
      <c r="W23" s="18"/>
      <c r="X23" s="15"/>
      <c r="Y23" s="18"/>
      <c r="Z23" s="15"/>
      <c r="AA23" s="18"/>
      <c r="AB23" s="15"/>
      <c r="AC23" s="18"/>
      <c r="AD23" s="15"/>
      <c r="AE23" s="18"/>
      <c r="AF23" s="15"/>
      <c r="AG23" s="18"/>
      <c r="AH23" s="15"/>
      <c r="AI23" s="18"/>
      <c r="AJ23" s="15"/>
      <c r="AK23" s="18"/>
      <c r="AL23" s="15"/>
      <c r="AM23" s="18"/>
      <c r="AN23" s="15"/>
      <c r="AO23" s="18"/>
      <c r="AP23" s="15"/>
      <c r="AQ23" s="18"/>
      <c r="AR23" s="15"/>
      <c r="AS23" s="18"/>
      <c r="AT23" s="15"/>
      <c r="AU23" s="18"/>
      <c r="AV23" s="15"/>
      <c r="AW23" s="18"/>
      <c r="AX23" s="15"/>
      <c r="AY23" s="18"/>
      <c r="AZ23" s="15"/>
      <c r="BA23" s="18"/>
      <c r="BB23" s="15"/>
      <c r="BC23" s="18"/>
      <c r="BD23" s="15"/>
      <c r="BE23" s="18"/>
      <c r="BF23" s="15"/>
      <c r="BG23" s="18"/>
      <c r="BH23" s="15"/>
      <c r="BI23" s="18"/>
      <c r="BJ23" s="15"/>
      <c r="BK23" s="18"/>
      <c r="BL23" s="15"/>
      <c r="BM23" s="18"/>
      <c r="BN23" s="15"/>
      <c r="BO23" s="18"/>
      <c r="BP23" s="15"/>
      <c r="BQ23" s="18"/>
      <c r="BR23" s="15"/>
      <c r="BS23" s="18"/>
      <c r="BT23" s="15"/>
      <c r="BU23" s="18"/>
      <c r="BV23" s="15"/>
      <c r="BW23" s="18"/>
      <c r="BX23" s="15"/>
      <c r="BY23" s="18"/>
      <c r="BZ23" s="15"/>
      <c r="CA23" s="18"/>
      <c r="CB23" s="15"/>
      <c r="CC23" s="18"/>
      <c r="CD23" s="15"/>
      <c r="CE23" s="18"/>
      <c r="CF23" s="15"/>
      <c r="CG23" s="18"/>
      <c r="CH23" s="15"/>
      <c r="CI23" s="18"/>
      <c r="CJ23" s="15"/>
      <c r="CK23" s="18"/>
      <c r="CL23" s="15"/>
      <c r="CM23" s="18"/>
      <c r="CN23" s="15"/>
      <c r="CO23" s="18"/>
      <c r="CP23" s="15"/>
      <c r="CQ23" s="18"/>
      <c r="CR23" s="15"/>
      <c r="CS23" s="18"/>
      <c r="CT23" s="15"/>
      <c r="CU23" s="18"/>
      <c r="CV23" s="15"/>
      <c r="CW23" s="18"/>
      <c r="CX23" s="15"/>
      <c r="CY23" s="18"/>
      <c r="CZ23" s="15"/>
      <c r="DA23" s="18"/>
      <c r="DB23" s="15"/>
      <c r="DC23" s="18"/>
      <c r="DD23" s="15"/>
      <c r="DE23" s="18"/>
      <c r="DF23" s="15"/>
      <c r="DG23" s="18"/>
      <c r="DH23" s="15"/>
      <c r="DI23" s="18"/>
      <c r="DJ23" s="15"/>
      <c r="DK23" s="18"/>
      <c r="DL23" s="15"/>
      <c r="DM23" s="18"/>
      <c r="DN23" s="15"/>
      <c r="DO23" s="18"/>
      <c r="DP23" s="15"/>
      <c r="DQ23" s="18"/>
      <c r="DR23" s="15"/>
      <c r="DS23" s="18"/>
      <c r="DT23" s="15"/>
      <c r="DU23" s="18"/>
      <c r="DV23" s="15"/>
      <c r="DW23" s="18"/>
      <c r="DX23" s="15"/>
      <c r="DY23" s="18"/>
      <c r="DZ23" s="15"/>
      <c r="EA23" s="18"/>
      <c r="EB23" s="15"/>
      <c r="EC23" s="18"/>
      <c r="ED23" s="15"/>
      <c r="EE23" s="18"/>
      <c r="EF23" s="15"/>
      <c r="EG23" s="18"/>
      <c r="EH23" s="15"/>
      <c r="EI23" s="18"/>
      <c r="EJ23" s="15"/>
      <c r="EK23" s="18"/>
      <c r="EL23" s="15"/>
      <c r="EM23" s="18"/>
      <c r="EN23" s="15"/>
      <c r="EO23" s="18"/>
      <c r="EP23" s="15"/>
      <c r="EQ23" s="18"/>
      <c r="ER23" s="15"/>
      <c r="ES23" s="18"/>
      <c r="ET23" s="15"/>
      <c r="EU23" s="18"/>
      <c r="EV23" s="15"/>
      <c r="EW23" s="18"/>
      <c r="EX23" s="15"/>
      <c r="EY23" s="18"/>
      <c r="EZ23" s="15"/>
      <c r="FA23" s="18"/>
      <c r="FB23" s="15"/>
      <c r="FC23" s="18"/>
      <c r="FD23" s="15"/>
      <c r="FE23" s="18"/>
      <c r="FF23" s="15"/>
      <c r="FG23" s="18"/>
      <c r="FH23" s="15"/>
      <c r="FI23" s="18"/>
      <c r="FJ23" s="15"/>
      <c r="FK23" s="18"/>
      <c r="FL23" s="15"/>
      <c r="FM23" s="18"/>
      <c r="FN23" s="15"/>
      <c r="FO23" s="18"/>
      <c r="FP23" s="15"/>
      <c r="FQ23" s="18"/>
      <c r="FR23" s="15"/>
      <c r="FS23" s="18"/>
      <c r="FT23" s="15"/>
      <c r="FU23" s="18"/>
      <c r="FV23" s="15"/>
      <c r="FW23" s="18"/>
      <c r="FX23" s="15"/>
      <c r="FY23" s="18"/>
      <c r="FZ23" s="15"/>
      <c r="GA23" s="18"/>
      <c r="GB23" s="15"/>
      <c r="GC23" s="18"/>
      <c r="GD23" s="15"/>
      <c r="GE23" s="18"/>
      <c r="GF23" s="15"/>
      <c r="GG23" s="18"/>
      <c r="GH23" s="15"/>
      <c r="GI23" s="18"/>
      <c r="GJ23" s="15"/>
      <c r="GK23" s="18"/>
      <c r="GL23" s="15"/>
      <c r="GM23" s="18"/>
      <c r="GN23" s="15"/>
      <c r="GO23" s="18"/>
      <c r="GP23" s="15"/>
      <c r="GQ23" s="18"/>
      <c r="GR23" s="15"/>
      <c r="GS23" s="18"/>
      <c r="GT23" s="15"/>
      <c r="GU23" s="18"/>
      <c r="GV23" s="15"/>
      <c r="GW23" s="18"/>
      <c r="GX23" s="15"/>
      <c r="GY23" s="18"/>
      <c r="GZ23" s="15"/>
      <c r="HA23" s="18"/>
      <c r="HB23" s="15"/>
      <c r="HC23" s="18"/>
      <c r="HD23" s="15"/>
      <c r="HE23" s="18"/>
      <c r="HF23" s="15"/>
      <c r="HG23" s="18"/>
      <c r="HH23" s="15"/>
      <c r="HI23" s="18"/>
      <c r="HJ23" s="15"/>
      <c r="HK23" s="18"/>
      <c r="HL23" s="15"/>
      <c r="HM23" s="18"/>
      <c r="HN23" s="15"/>
      <c r="HO23" s="18"/>
      <c r="HP23" s="15"/>
      <c r="HQ23" s="18"/>
      <c r="HR23" s="15"/>
      <c r="HS23" s="18"/>
      <c r="HT23" s="15"/>
      <c r="HU23" s="18"/>
      <c r="HV23" s="15"/>
      <c r="HW23" s="18"/>
      <c r="HX23" s="15"/>
      <c r="HY23" s="18"/>
      <c r="HZ23" s="15"/>
      <c r="IA23" s="18"/>
      <c r="IB23" s="15"/>
      <c r="IC23" s="18"/>
      <c r="ID23" s="15"/>
      <c r="IE23" s="18"/>
      <c r="IF23" s="15"/>
      <c r="IG23" s="18"/>
      <c r="IH23" s="15"/>
      <c r="II23" s="18"/>
      <c r="IJ23" s="15"/>
      <c r="IK23" s="18"/>
      <c r="IL23" s="15"/>
      <c r="IM23" s="18"/>
      <c r="IN23" s="15"/>
      <c r="IO23" s="18"/>
      <c r="IP23" s="15"/>
      <c r="IQ23" s="18"/>
      <c r="IR23" s="15"/>
      <c r="IS23" s="18"/>
      <c r="IT23" s="15"/>
      <c r="IU23" s="18"/>
      <c r="IV23" s="15"/>
      <c r="IW23" s="18"/>
      <c r="IX23" s="15"/>
      <c r="IY23" s="18"/>
      <c r="IZ23" s="15"/>
      <c r="JA23" s="18"/>
      <c r="JB23" s="15"/>
      <c r="JC23" s="18"/>
      <c r="JD23" s="15"/>
      <c r="JE23" s="18"/>
      <c r="JF23" s="15"/>
      <c r="JG23" s="18"/>
      <c r="JH23" s="15"/>
      <c r="JI23" s="18"/>
      <c r="JJ23" s="15"/>
      <c r="JK23" s="18"/>
      <c r="JL23" s="15"/>
      <c r="JM23" s="18"/>
      <c r="JN23" s="15"/>
      <c r="JO23" s="18"/>
      <c r="JP23" s="15"/>
      <c r="JQ23" s="18"/>
      <c r="JR23" s="15"/>
      <c r="JS23" s="18"/>
      <c r="JT23" s="15"/>
      <c r="JU23" s="18"/>
      <c r="JV23" s="15"/>
      <c r="JW23" s="18"/>
      <c r="JX23" s="15"/>
      <c r="JY23" s="18"/>
      <c r="JZ23" s="15"/>
      <c r="KA23" s="18"/>
      <c r="KB23" s="15"/>
      <c r="KC23" s="18"/>
      <c r="KD23" s="15"/>
      <c r="KE23" s="18"/>
      <c r="KF23" s="15"/>
      <c r="KG23" s="18"/>
      <c r="KH23" s="15"/>
      <c r="KI23" s="18"/>
      <c r="KJ23" s="15"/>
      <c r="KK23" s="18"/>
      <c r="KL23" s="15"/>
      <c r="KM23" s="18"/>
      <c r="KN23" s="15"/>
      <c r="KO23" s="18"/>
      <c r="KP23" s="15"/>
      <c r="KQ23" s="18"/>
      <c r="KR23" s="15"/>
      <c r="KS23" s="18"/>
      <c r="KT23" s="15"/>
      <c r="KU23" s="18"/>
      <c r="KV23" s="15"/>
      <c r="KW23" s="18"/>
      <c r="KX23" s="15"/>
      <c r="KY23" s="18"/>
      <c r="KZ23" s="15"/>
      <c r="LA23" s="18"/>
      <c r="LB23" s="15"/>
      <c r="LC23" s="18"/>
      <c r="LD23" s="15"/>
      <c r="LE23" s="18"/>
      <c r="LF23" s="15"/>
      <c r="LG23" s="18"/>
      <c r="LH23" s="15"/>
      <c r="LI23" s="18"/>
      <c r="LJ23" s="15"/>
      <c r="LK23" s="18"/>
      <c r="LL23" s="15"/>
      <c r="LM23" s="18"/>
      <c r="LN23" s="15"/>
      <c r="LO23" s="18"/>
      <c r="LP23" s="15"/>
      <c r="LQ23" s="18"/>
      <c r="LR23" s="15"/>
      <c r="LS23" s="18"/>
      <c r="LT23" s="15"/>
      <c r="LU23" s="18"/>
      <c r="LV23" s="15"/>
      <c r="LW23" s="18"/>
      <c r="LX23" s="15"/>
      <c r="LY23" s="18"/>
      <c r="LZ23" s="15"/>
      <c r="MA23" s="18"/>
      <c r="MB23" s="15"/>
      <c r="MC23" s="18"/>
      <c r="MD23" s="15"/>
      <c r="ME23" s="18"/>
      <c r="MF23" s="15"/>
      <c r="MG23" s="18"/>
      <c r="MH23" s="15"/>
      <c r="MI23" s="18"/>
      <c r="MJ23" s="15"/>
      <c r="MK23" s="18"/>
      <c r="ML23" s="15"/>
      <c r="MM23" s="18"/>
      <c r="MN23" s="15"/>
      <c r="MO23" s="18"/>
      <c r="MP23" s="15"/>
      <c r="MQ23" s="18"/>
      <c r="MR23" s="15"/>
      <c r="MS23" s="18"/>
      <c r="MT23" s="15"/>
      <c r="MU23" s="18"/>
      <c r="MV23" s="15"/>
      <c r="MW23" s="18"/>
      <c r="MX23" s="15"/>
      <c r="MY23" s="18"/>
      <c r="MZ23" s="15"/>
      <c r="NA23" s="18"/>
      <c r="NB23" s="15"/>
      <c r="NC23" s="18"/>
      <c r="ND23" s="15"/>
      <c r="NE23" s="18"/>
      <c r="NF23" s="15"/>
      <c r="NG23" s="18"/>
      <c r="NH23" s="15"/>
      <c r="NI23" s="18"/>
      <c r="NJ23" s="15"/>
      <c r="NK23" s="18"/>
      <c r="NL23" s="15"/>
      <c r="NM23" s="18"/>
      <c r="NN23" s="15"/>
      <c r="NO23" s="18"/>
      <c r="NP23" s="15"/>
      <c r="NQ23" s="18"/>
      <c r="NR23" s="15"/>
      <c r="NS23" s="18"/>
      <c r="NT23" s="15"/>
      <c r="NU23" s="18"/>
      <c r="NV23" s="15"/>
      <c r="NW23" s="18"/>
      <c r="NX23" s="15"/>
      <c r="NY23" s="18"/>
      <c r="NZ23" s="15"/>
      <c r="OA23" s="18"/>
      <c r="OB23" s="15"/>
      <c r="OC23" s="18"/>
      <c r="OD23" s="15"/>
      <c r="OE23" s="18"/>
      <c r="OF23" s="15"/>
      <c r="OG23" s="18"/>
      <c r="OH23" s="15"/>
      <c r="OI23" s="18"/>
      <c r="OJ23" s="15"/>
      <c r="OK23" s="18"/>
      <c r="OL23" s="15"/>
      <c r="OM23" s="18"/>
      <c r="ON23" s="15"/>
      <c r="OO23" s="18"/>
      <c r="OP23" s="15"/>
      <c r="OQ23" s="18"/>
      <c r="OR23" s="15"/>
      <c r="OS23" s="18"/>
      <c r="OT23" s="15"/>
      <c r="OU23" s="18"/>
      <c r="OV23" s="15"/>
      <c r="OW23" s="18"/>
      <c r="OX23" s="15"/>
      <c r="OY23" s="18"/>
      <c r="OZ23" s="15"/>
      <c r="PA23" s="18"/>
      <c r="PB23" s="15"/>
      <c r="PC23" s="18"/>
      <c r="PD23" s="15"/>
      <c r="PE23" s="18"/>
      <c r="PF23" s="15"/>
      <c r="PG23" s="18"/>
      <c r="PH23" s="15"/>
      <c r="PI23" s="18"/>
      <c r="PJ23" s="15"/>
      <c r="PK23" s="18"/>
      <c r="PL23" s="15"/>
      <c r="PM23" s="18"/>
      <c r="PN23" s="15"/>
      <c r="PO23" s="18"/>
      <c r="PP23" s="15"/>
      <c r="PQ23" s="18"/>
      <c r="PR23" s="15"/>
      <c r="PS23" s="18"/>
      <c r="PT23" s="15"/>
      <c r="PU23" s="18"/>
      <c r="PV23" s="15"/>
      <c r="PW23" s="18"/>
      <c r="PX23" s="15"/>
      <c r="PY23" s="18"/>
      <c r="PZ23" s="15"/>
      <c r="QA23" s="18"/>
      <c r="QB23" s="15"/>
      <c r="QC23" s="18"/>
      <c r="QD23" s="15"/>
      <c r="QE23" s="18"/>
      <c r="QF23" s="15"/>
      <c r="QG23" s="18"/>
      <c r="QH23" s="15"/>
      <c r="QI23" s="18"/>
      <c r="QJ23" s="15"/>
      <c r="QK23" s="18"/>
      <c r="QL23" s="15"/>
      <c r="QM23" s="18"/>
      <c r="QN23" s="15"/>
      <c r="QO23" s="18"/>
      <c r="QP23" s="15"/>
      <c r="QQ23" s="18"/>
      <c r="QR23" s="15"/>
      <c r="QS23" s="18"/>
      <c r="QT23" s="15"/>
      <c r="QU23" s="18"/>
      <c r="QV23" s="15"/>
      <c r="QW23" s="18"/>
      <c r="QX23" s="15"/>
      <c r="QY23" s="18"/>
      <c r="QZ23" s="15"/>
      <c r="RA23" s="18"/>
      <c r="RB23" s="15"/>
      <c r="RC23" s="18"/>
      <c r="RD23" s="15"/>
      <c r="RE23" s="18"/>
      <c r="RF23" s="15"/>
      <c r="RG23" s="18"/>
      <c r="RH23" s="15"/>
      <c r="RI23" s="18"/>
      <c r="RJ23" s="15"/>
      <c r="RK23" s="18"/>
      <c r="RL23" s="15"/>
      <c r="RM23" s="18"/>
      <c r="RN23" s="15"/>
      <c r="RO23" s="18"/>
      <c r="RP23" s="15"/>
      <c r="RQ23" s="18"/>
      <c r="RR23" s="15"/>
      <c r="RS23" s="18"/>
      <c r="RT23" s="15"/>
      <c r="RU23" s="18"/>
      <c r="RV23" s="15"/>
      <c r="RW23" s="18"/>
      <c r="RX23" s="15"/>
      <c r="RY23" s="18"/>
      <c r="RZ23" s="15"/>
      <c r="SA23" s="18"/>
      <c r="SB23" s="15"/>
      <c r="SC23" s="18"/>
      <c r="SD23" s="15"/>
      <c r="SE23" s="18"/>
      <c r="SF23" s="15"/>
      <c r="SG23" s="18"/>
      <c r="SH23" s="15"/>
      <c r="SI23" s="18"/>
      <c r="SJ23" s="15"/>
      <c r="SK23" s="18"/>
      <c r="SL23" s="15"/>
      <c r="SM23" s="18"/>
      <c r="SN23" s="15"/>
      <c r="SO23" s="18"/>
      <c r="SP23" s="15"/>
      <c r="SQ23" s="18"/>
      <c r="SR23" s="15"/>
      <c r="SS23" s="18"/>
      <c r="ST23" s="15"/>
      <c r="SU23" s="18"/>
      <c r="SV23" s="15"/>
      <c r="SW23" s="18"/>
      <c r="SX23" s="15"/>
      <c r="SY23" s="18"/>
      <c r="SZ23" s="15"/>
      <c r="TA23" s="18"/>
      <c r="TB23" s="15"/>
      <c r="TC23" s="18"/>
      <c r="TD23" s="15"/>
      <c r="TE23" s="18"/>
      <c r="TF23" s="15"/>
      <c r="TG23" s="18"/>
      <c r="TH23" s="15"/>
      <c r="TI23" s="18"/>
      <c r="TJ23" s="15"/>
      <c r="TK23" s="18"/>
      <c r="TL23" s="15"/>
      <c r="TM23" s="18"/>
      <c r="TN23" s="15"/>
      <c r="TO23" s="18"/>
      <c r="TP23" s="15"/>
      <c r="TQ23" s="18"/>
      <c r="TR23" s="15"/>
      <c r="TS23" s="18"/>
      <c r="TT23" s="15"/>
      <c r="TU23" s="18"/>
      <c r="TV23" s="15"/>
      <c r="TW23" s="18"/>
      <c r="TX23" s="15"/>
      <c r="TY23" s="18"/>
      <c r="TZ23" s="15"/>
      <c r="UA23" s="18"/>
      <c r="UB23" s="15"/>
      <c r="UC23" s="18"/>
      <c r="UD23" s="15"/>
      <c r="UE23" s="18"/>
      <c r="UF23" s="15"/>
      <c r="UG23" s="18"/>
      <c r="UH23" s="15"/>
      <c r="UI23" s="18"/>
      <c r="UJ23" s="15"/>
      <c r="UK23" s="18"/>
      <c r="UL23" s="15"/>
      <c r="UM23" s="18"/>
      <c r="UN23" s="15"/>
      <c r="UO23" s="18"/>
      <c r="UP23" s="15"/>
      <c r="UQ23" s="18"/>
      <c r="UR23" s="15"/>
      <c r="US23" s="18"/>
      <c r="UT23" s="15"/>
      <c r="UU23" s="18"/>
      <c r="UV23" s="15"/>
      <c r="UW23" s="18"/>
      <c r="UX23" s="15"/>
      <c r="UY23" s="18"/>
      <c r="UZ23" s="15"/>
      <c r="VA23" s="18"/>
      <c r="VB23" s="15"/>
      <c r="VC23" s="18"/>
      <c r="VD23" s="15"/>
      <c r="VE23" s="18"/>
      <c r="VF23" s="15"/>
      <c r="VG23" s="18"/>
      <c r="VH23" s="15"/>
      <c r="VI23" s="18"/>
      <c r="VJ23" s="15"/>
      <c r="VK23" s="18"/>
      <c r="VL23" s="15"/>
      <c r="VM23" s="18"/>
      <c r="VN23" s="15"/>
      <c r="VO23" s="18"/>
      <c r="VP23" s="15"/>
      <c r="VQ23" s="18"/>
      <c r="VR23" s="15"/>
      <c r="VS23" s="18"/>
      <c r="VT23" s="15"/>
      <c r="VU23" s="18"/>
      <c r="VV23" s="15"/>
      <c r="VW23" s="18"/>
      <c r="VX23" s="15"/>
      <c r="VY23" s="18"/>
      <c r="VZ23" s="15"/>
      <c r="WA23" s="18"/>
      <c r="WB23" s="15"/>
      <c r="WC23" s="18"/>
      <c r="WD23" s="15"/>
      <c r="WE23" s="18"/>
      <c r="WF23" s="15"/>
      <c r="WG23" s="18"/>
      <c r="WH23" s="15"/>
      <c r="WI23" s="18"/>
      <c r="WJ23" s="15"/>
      <c r="WK23" s="18"/>
      <c r="WL23" s="15"/>
      <c r="WM23" s="18"/>
      <c r="WN23" s="15"/>
      <c r="WO23" s="18"/>
      <c r="WP23" s="15"/>
      <c r="WQ23" s="18"/>
      <c r="WR23" s="15"/>
      <c r="WS23" s="18"/>
      <c r="WT23" s="15"/>
      <c r="WU23" s="18"/>
      <c r="WV23" s="15"/>
      <c r="WW23" s="18"/>
      <c r="WX23" s="15"/>
      <c r="WY23" s="18"/>
      <c r="WZ23" s="15"/>
      <c r="XA23" s="18"/>
      <c r="XB23" s="15"/>
      <c r="XC23" s="18"/>
      <c r="XD23" s="15"/>
      <c r="XE23" s="18"/>
      <c r="XF23" s="15"/>
      <c r="XG23" s="18"/>
      <c r="XH23" s="15"/>
      <c r="XI23" s="18"/>
      <c r="XJ23" s="15"/>
      <c r="XK23" s="18"/>
      <c r="XL23" s="15"/>
      <c r="XM23" s="18"/>
      <c r="XN23" s="15"/>
      <c r="XO23" s="18"/>
      <c r="XP23" s="15"/>
      <c r="XQ23" s="18"/>
      <c r="XR23" s="15"/>
      <c r="XS23" s="18"/>
      <c r="XT23" s="15"/>
      <c r="XU23" s="18"/>
      <c r="XV23" s="15"/>
      <c r="XW23" s="18"/>
      <c r="XX23" s="15"/>
      <c r="XY23" s="18"/>
      <c r="XZ23" s="15"/>
      <c r="YA23" s="18"/>
      <c r="YB23" s="15"/>
      <c r="YC23" s="18"/>
      <c r="YD23" s="15"/>
      <c r="YE23" s="18"/>
      <c r="YF23" s="15"/>
      <c r="YG23" s="18"/>
      <c r="YH23" s="15"/>
      <c r="YI23" s="18"/>
      <c r="YJ23" s="15"/>
      <c r="YK23" s="18"/>
      <c r="YL23" s="15"/>
      <c r="YM23" s="18"/>
      <c r="YN23" s="15"/>
      <c r="YO23" s="18"/>
      <c r="YP23" s="15"/>
      <c r="YQ23" s="18"/>
      <c r="YR23" s="15"/>
      <c r="YS23" s="18"/>
      <c r="YT23" s="15"/>
      <c r="YU23" s="18"/>
      <c r="YV23" s="15"/>
      <c r="YW23" s="18"/>
      <c r="YX23" s="15"/>
      <c r="YY23" s="18"/>
      <c r="YZ23" s="15"/>
      <c r="ZA23" s="18"/>
      <c r="ZB23" s="15"/>
      <c r="ZC23" s="18"/>
      <c r="ZD23" s="15"/>
      <c r="ZE23" s="18"/>
      <c r="ZF23" s="15"/>
      <c r="ZG23" s="18"/>
      <c r="ZH23" s="15"/>
      <c r="ZI23" s="18"/>
      <c r="ZJ23" s="15"/>
      <c r="ZK23" s="18"/>
      <c r="ZL23" s="15"/>
      <c r="ZM23" s="18"/>
      <c r="ZN23" s="15"/>
      <c r="ZO23" s="18"/>
      <c r="ZP23" s="15"/>
      <c r="ZQ23" s="18"/>
      <c r="ZR23" s="15"/>
      <c r="ZS23" s="18"/>
      <c r="ZT23" s="15"/>
      <c r="ZU23" s="18"/>
      <c r="ZV23" s="15"/>
      <c r="ZW23" s="18"/>
      <c r="ZX23" s="15"/>
      <c r="ZY23" s="18"/>
      <c r="ZZ23" s="15"/>
      <c r="AAA23" s="18"/>
      <c r="AAB23" s="15"/>
      <c r="AAC23" s="18"/>
      <c r="AAD23" s="15"/>
      <c r="AAE23" s="18"/>
      <c r="AAF23" s="15"/>
      <c r="AAG23" s="18"/>
      <c r="AAH23" s="15"/>
      <c r="AAI23" s="18"/>
      <c r="AAJ23" s="15"/>
      <c r="AAK23" s="18"/>
      <c r="AAL23" s="15"/>
      <c r="AAM23" s="18"/>
      <c r="AAN23" s="15"/>
      <c r="AAO23" s="18"/>
      <c r="AAP23" s="15"/>
      <c r="AAQ23" s="18"/>
      <c r="AAR23" s="15"/>
      <c r="AAS23" s="18"/>
      <c r="AAT23" s="15"/>
      <c r="AAU23" s="18"/>
      <c r="AAV23" s="15"/>
      <c r="AAW23" s="18"/>
      <c r="AAX23" s="15"/>
      <c r="AAY23" s="18"/>
      <c r="AAZ23" s="15"/>
      <c r="ABA23" s="18"/>
      <c r="ABB23" s="15"/>
      <c r="ABC23" s="18"/>
      <c r="ABD23" s="15"/>
      <c r="ABE23" s="18"/>
      <c r="ABF23" s="15"/>
      <c r="ABG23" s="18"/>
      <c r="ABH23" s="15"/>
      <c r="ABI23" s="18"/>
      <c r="ABJ23" s="15"/>
      <c r="ABK23" s="18"/>
      <c r="ABL23" s="15"/>
      <c r="ABM23" s="18"/>
      <c r="ABN23" s="15"/>
      <c r="ABO23" s="18"/>
      <c r="ABP23" s="15"/>
      <c r="ABQ23" s="18"/>
      <c r="ABR23" s="15"/>
      <c r="ABS23" s="18"/>
      <c r="ABT23" s="15"/>
      <c r="ABU23" s="18"/>
      <c r="ABV23" s="15"/>
      <c r="ABW23" s="18"/>
      <c r="ABX23" s="15"/>
      <c r="ABY23" s="18"/>
      <c r="ABZ23" s="15"/>
      <c r="ACA23" s="18"/>
      <c r="ACB23" s="15"/>
      <c r="ACC23" s="18"/>
      <c r="ACD23" s="15"/>
      <c r="ACE23" s="18"/>
      <c r="ACF23" s="15"/>
      <c r="ACG23" s="18"/>
      <c r="ACH23" s="15"/>
      <c r="ACI23" s="18"/>
      <c r="ACJ23" s="15"/>
      <c r="ACK23" s="18"/>
      <c r="ACL23" s="15"/>
      <c r="ACM23" s="18"/>
      <c r="ACN23" s="15"/>
      <c r="ACO23" s="18"/>
      <c r="ACP23" s="15"/>
      <c r="ACQ23" s="18"/>
      <c r="ACR23" s="15"/>
      <c r="ACS23" s="18"/>
      <c r="ACT23" s="15"/>
      <c r="ACU23" s="18"/>
      <c r="ACV23" s="15"/>
      <c r="ACW23" s="18"/>
      <c r="ACX23" s="15"/>
      <c r="ACY23" s="18"/>
      <c r="ACZ23" s="15"/>
      <c r="ADA23" s="18"/>
      <c r="ADB23" s="15"/>
      <c r="ADC23" s="18"/>
      <c r="ADD23" s="15"/>
      <c r="ADE23" s="18"/>
      <c r="ADF23" s="15"/>
      <c r="ADG23" s="18"/>
      <c r="ADH23" s="15"/>
      <c r="ADI23" s="18"/>
      <c r="ADJ23" s="15"/>
      <c r="ADK23" s="18"/>
      <c r="ADL23" s="15"/>
      <c r="ADM23" s="18"/>
      <c r="ADN23" s="15"/>
      <c r="ADO23" s="18"/>
      <c r="ADP23" s="15"/>
      <c r="ADQ23" s="18"/>
      <c r="ADR23" s="15"/>
      <c r="ADS23" s="18"/>
      <c r="ADT23" s="15"/>
      <c r="ADU23" s="18"/>
      <c r="ADV23" s="15"/>
      <c r="ADW23" s="18"/>
      <c r="ADX23" s="15"/>
      <c r="ADY23" s="18"/>
      <c r="ADZ23" s="15"/>
      <c r="AEA23" s="18"/>
      <c r="AEB23" s="15"/>
      <c r="AEC23" s="18"/>
      <c r="AED23" s="15"/>
      <c r="AEE23" s="18"/>
      <c r="AEF23" s="15"/>
      <c r="AEG23" s="18"/>
      <c r="AEH23" s="15"/>
      <c r="AEI23" s="18"/>
      <c r="AEJ23" s="15"/>
      <c r="AEK23" s="18"/>
      <c r="AEL23" s="15"/>
      <c r="AEM23" s="18"/>
      <c r="AEN23" s="15"/>
      <c r="AEO23" s="18"/>
      <c r="AEP23" s="15"/>
      <c r="AEQ23" s="18"/>
      <c r="AER23" s="15"/>
      <c r="AES23" s="18"/>
      <c r="AET23" s="15"/>
      <c r="AEU23" s="18"/>
      <c r="AEV23" s="15"/>
      <c r="AEW23" s="18"/>
      <c r="AEX23" s="15"/>
      <c r="AEY23" s="18"/>
      <c r="AEZ23" s="15"/>
      <c r="AFA23" s="18"/>
      <c r="AFB23" s="15"/>
      <c r="AFC23" s="18"/>
      <c r="AFD23" s="15"/>
      <c r="AFE23" s="18"/>
      <c r="AFF23" s="15"/>
      <c r="AFG23" s="18"/>
      <c r="AFH23" s="15"/>
      <c r="AFI23" s="18"/>
      <c r="AFJ23" s="15"/>
      <c r="AFK23" s="18"/>
      <c r="AFL23" s="15"/>
      <c r="AFM23" s="18"/>
      <c r="AFN23" s="15"/>
      <c r="AFO23" s="18"/>
      <c r="AFP23" s="15"/>
      <c r="AFQ23" s="18"/>
      <c r="AFR23" s="15"/>
      <c r="AFS23" s="18"/>
      <c r="AFT23" s="15"/>
      <c r="AFU23" s="18"/>
      <c r="AFV23" s="15"/>
      <c r="AFW23" s="18"/>
      <c r="AFX23" s="15"/>
      <c r="AFY23" s="18"/>
      <c r="AFZ23" s="15"/>
      <c r="AGA23" s="18"/>
      <c r="AGB23" s="15"/>
      <c r="AGC23" s="18"/>
      <c r="AGD23" s="15"/>
      <c r="AGE23" s="18"/>
      <c r="AGF23" s="15"/>
      <c r="AGG23" s="18"/>
      <c r="AGH23" s="15"/>
      <c r="AGI23" s="18"/>
      <c r="AGJ23" s="15"/>
      <c r="AGK23" s="18"/>
      <c r="AGL23" s="15"/>
      <c r="AGM23" s="18"/>
      <c r="AGN23" s="15"/>
      <c r="AGO23" s="18"/>
      <c r="AGP23" s="15"/>
      <c r="AGQ23" s="18"/>
      <c r="AGR23" s="15"/>
      <c r="AGS23" s="18"/>
      <c r="AGT23" s="15"/>
      <c r="AGU23" s="18"/>
      <c r="AGV23" s="15"/>
      <c r="AGW23" s="18"/>
      <c r="AGX23" s="15"/>
      <c r="AGY23" s="18"/>
      <c r="AGZ23" s="15"/>
      <c r="AHA23" s="18"/>
      <c r="AHB23" s="15"/>
      <c r="AHC23" s="18"/>
      <c r="AHD23" s="15"/>
      <c r="AHE23" s="18"/>
      <c r="AHF23" s="15"/>
      <c r="AHG23" s="18"/>
      <c r="AHH23" s="15"/>
      <c r="AHI23" s="18"/>
      <c r="AHJ23" s="15"/>
      <c r="AHK23" s="18"/>
      <c r="AHL23" s="15"/>
      <c r="AHM23" s="18"/>
      <c r="AHN23" s="15"/>
      <c r="AHO23" s="18"/>
      <c r="AHP23" s="15"/>
      <c r="AHQ23" s="18"/>
      <c r="AHR23" s="15"/>
      <c r="AHS23" s="18"/>
      <c r="AHT23" s="15"/>
      <c r="AHU23" s="18"/>
      <c r="AHV23" s="15"/>
      <c r="AHW23" s="18"/>
      <c r="AHX23" s="15"/>
      <c r="AHY23" s="18"/>
      <c r="AHZ23" s="15"/>
      <c r="AIA23" s="18"/>
      <c r="AIB23" s="15"/>
      <c r="AIC23" s="18"/>
      <c r="AID23" s="15"/>
      <c r="AIE23" s="18"/>
      <c r="AIF23" s="15"/>
      <c r="AIG23" s="18"/>
      <c r="AIH23" s="15"/>
      <c r="AII23" s="18"/>
      <c r="AIJ23" s="15"/>
      <c r="AIK23" s="18"/>
      <c r="AIL23" s="15"/>
      <c r="AIM23" s="18"/>
      <c r="AIN23" s="15"/>
      <c r="AIO23" s="18"/>
      <c r="AIP23" s="15"/>
      <c r="AIQ23" s="18"/>
      <c r="AIR23" s="15"/>
      <c r="AIS23" s="18"/>
      <c r="AIT23" s="15"/>
      <c r="AIU23" s="18"/>
      <c r="AIV23" s="15"/>
      <c r="AIW23" s="18"/>
      <c r="AIX23" s="15"/>
      <c r="AIY23" s="18"/>
      <c r="AIZ23" s="15"/>
      <c r="AJA23" s="18"/>
      <c r="AJB23" s="15"/>
      <c r="AJC23" s="18"/>
      <c r="AJD23" s="15"/>
      <c r="AJE23" s="18"/>
      <c r="AJF23" s="15"/>
      <c r="AJG23" s="18"/>
      <c r="AJH23" s="15"/>
      <c r="AJI23" s="18"/>
      <c r="AJJ23" s="15"/>
      <c r="AJK23" s="18"/>
      <c r="AJL23" s="15"/>
      <c r="AJM23" s="18"/>
      <c r="AJN23" s="15"/>
      <c r="AJO23" s="18"/>
      <c r="AJP23" s="15"/>
      <c r="AJQ23" s="18"/>
      <c r="AJR23" s="15"/>
      <c r="AJS23" s="18"/>
      <c r="AJT23" s="15"/>
      <c r="AJU23" s="18"/>
      <c r="AJV23" s="15"/>
      <c r="AJW23" s="18"/>
      <c r="AJX23" s="15"/>
      <c r="AJY23" s="18"/>
      <c r="AJZ23" s="15"/>
      <c r="AKA23" s="18"/>
      <c r="AKB23" s="15"/>
      <c r="AKC23" s="18"/>
      <c r="AKD23" s="15"/>
      <c r="AKE23" s="18"/>
      <c r="AKF23" s="15"/>
      <c r="AKG23" s="18"/>
      <c r="AKH23" s="15"/>
      <c r="AKI23" s="18"/>
      <c r="AKJ23" s="15"/>
      <c r="AKK23" s="18"/>
      <c r="AKL23" s="15"/>
      <c r="AKM23" s="18"/>
      <c r="AKN23" s="15"/>
      <c r="AKO23" s="18"/>
      <c r="AKP23" s="15"/>
      <c r="AKQ23" s="18"/>
      <c r="AKR23" s="15"/>
      <c r="AKS23" s="18"/>
      <c r="AKT23" s="15"/>
      <c r="AKU23" s="18"/>
      <c r="AKV23" s="15"/>
      <c r="AKW23" s="18"/>
      <c r="AKX23" s="15"/>
      <c r="AKY23" s="18"/>
      <c r="AKZ23" s="15"/>
      <c r="ALA23" s="18"/>
      <c r="ALB23" s="15"/>
      <c r="ALC23" s="18"/>
      <c r="ALD23" s="15"/>
      <c r="ALE23" s="18"/>
      <c r="ALF23" s="15"/>
      <c r="ALG23" s="18"/>
      <c r="ALH23" s="15"/>
      <c r="ALI23" s="18"/>
      <c r="ALJ23" s="15"/>
      <c r="ALK23" s="18"/>
      <c r="ALL23" s="15"/>
      <c r="ALM23" s="18"/>
      <c r="ALN23" s="15"/>
      <c r="ALO23" s="18"/>
      <c r="ALP23" s="15"/>
      <c r="ALQ23" s="18"/>
      <c r="ALR23" s="15"/>
      <c r="ALS23" s="18"/>
      <c r="ALT23" s="15"/>
      <c r="ALU23" s="18"/>
      <c r="ALV23" s="15"/>
      <c r="ALW23" s="18"/>
      <c r="ALX23" s="15"/>
      <c r="ALY23" s="22"/>
    </row>
    <row r="24" spans="1:1013" x14ac:dyDescent="0.25">
      <c r="A24" t="s">
        <v>32</v>
      </c>
      <c r="B24" s="1">
        <v>45028</v>
      </c>
      <c r="C24" t="s">
        <v>1013</v>
      </c>
      <c r="D24" t="s">
        <v>1014</v>
      </c>
      <c r="E24" t="s">
        <v>1026</v>
      </c>
      <c r="F24" t="s">
        <v>1034</v>
      </c>
      <c r="G24">
        <v>8</v>
      </c>
      <c r="H24">
        <v>46601</v>
      </c>
      <c r="I24">
        <v>10</v>
      </c>
      <c r="J24" t="s">
        <v>1036</v>
      </c>
      <c r="K24">
        <v>335527.2</v>
      </c>
    </row>
    <row r="25" spans="1:1013" x14ac:dyDescent="0.25">
      <c r="A25" t="s">
        <v>33</v>
      </c>
      <c r="B25" s="1">
        <v>45259</v>
      </c>
      <c r="C25" t="s">
        <v>1013</v>
      </c>
      <c r="D25" t="s">
        <v>1017</v>
      </c>
      <c r="E25" t="s">
        <v>1028</v>
      </c>
      <c r="F25" t="s">
        <v>1033</v>
      </c>
      <c r="G25">
        <v>6</v>
      </c>
      <c r="H25">
        <v>14700</v>
      </c>
      <c r="I25">
        <v>10</v>
      </c>
      <c r="J25" t="s">
        <v>1035</v>
      </c>
      <c r="K25">
        <v>79380</v>
      </c>
    </row>
    <row r="26" spans="1:1013" x14ac:dyDescent="0.25">
      <c r="A26" t="s">
        <v>34</v>
      </c>
      <c r="B26" s="1">
        <v>45286</v>
      </c>
      <c r="C26" t="s">
        <v>1011</v>
      </c>
      <c r="D26" t="s">
        <v>1019</v>
      </c>
      <c r="E26" t="s">
        <v>1031</v>
      </c>
      <c r="F26" t="s">
        <v>1034</v>
      </c>
      <c r="G26">
        <v>1</v>
      </c>
      <c r="H26">
        <v>41111</v>
      </c>
      <c r="I26">
        <v>20</v>
      </c>
      <c r="J26" t="s">
        <v>1038</v>
      </c>
      <c r="K26">
        <v>32888.800000000003</v>
      </c>
    </row>
    <row r="27" spans="1:1013" x14ac:dyDescent="0.25">
      <c r="A27" t="s">
        <v>35</v>
      </c>
      <c r="B27" s="1">
        <v>45206</v>
      </c>
      <c r="C27" t="s">
        <v>1011</v>
      </c>
      <c r="D27" t="s">
        <v>1021</v>
      </c>
      <c r="E27" t="s">
        <v>1029</v>
      </c>
      <c r="F27" t="s">
        <v>1032</v>
      </c>
      <c r="G27">
        <v>1</v>
      </c>
      <c r="H27">
        <v>4813</v>
      </c>
      <c r="I27">
        <v>15</v>
      </c>
      <c r="J27" t="s">
        <v>1039</v>
      </c>
      <c r="K27">
        <v>4091.05</v>
      </c>
    </row>
    <row r="28" spans="1:1013" x14ac:dyDescent="0.25">
      <c r="A28" t="s">
        <v>36</v>
      </c>
      <c r="B28" s="1">
        <v>45141</v>
      </c>
      <c r="C28" t="s">
        <v>1012</v>
      </c>
      <c r="D28" t="s">
        <v>1014</v>
      </c>
      <c r="E28" t="s">
        <v>1023</v>
      </c>
      <c r="F28" t="s">
        <v>1032</v>
      </c>
      <c r="G28">
        <v>4</v>
      </c>
      <c r="H28">
        <v>8163</v>
      </c>
      <c r="I28">
        <v>0</v>
      </c>
      <c r="J28" t="s">
        <v>1039</v>
      </c>
      <c r="K28">
        <v>32652</v>
      </c>
    </row>
    <row r="29" spans="1:1013" x14ac:dyDescent="0.25">
      <c r="A29" t="s">
        <v>37</v>
      </c>
      <c r="B29" s="1">
        <v>45039</v>
      </c>
      <c r="C29" t="s">
        <v>1011</v>
      </c>
      <c r="D29" t="s">
        <v>1017</v>
      </c>
      <c r="E29" t="s">
        <v>1022</v>
      </c>
      <c r="F29" t="s">
        <v>1032</v>
      </c>
      <c r="G29">
        <v>7</v>
      </c>
      <c r="H29">
        <v>38445</v>
      </c>
      <c r="I29">
        <v>0</v>
      </c>
      <c r="J29" t="s">
        <v>1035</v>
      </c>
      <c r="K29">
        <v>269115</v>
      </c>
    </row>
    <row r="30" spans="1:1013" x14ac:dyDescent="0.25">
      <c r="A30" t="s">
        <v>38</v>
      </c>
      <c r="B30" s="1">
        <v>45156</v>
      </c>
      <c r="C30" t="s">
        <v>1013</v>
      </c>
      <c r="D30" t="s">
        <v>1015</v>
      </c>
      <c r="E30" t="s">
        <v>1025</v>
      </c>
      <c r="F30" t="s">
        <v>1033</v>
      </c>
      <c r="G30">
        <v>10</v>
      </c>
      <c r="H30">
        <v>48823</v>
      </c>
      <c r="I30">
        <v>0</v>
      </c>
      <c r="J30" t="s">
        <v>1038</v>
      </c>
      <c r="K30">
        <v>488230</v>
      </c>
    </row>
    <row r="31" spans="1:1013" x14ac:dyDescent="0.25">
      <c r="A31" t="s">
        <v>39</v>
      </c>
      <c r="B31" s="1">
        <v>45228</v>
      </c>
      <c r="C31" t="s">
        <v>1011</v>
      </c>
      <c r="D31" t="s">
        <v>1018</v>
      </c>
      <c r="E31" t="s">
        <v>1027</v>
      </c>
      <c r="F31" t="s">
        <v>1032</v>
      </c>
      <c r="G31">
        <v>2</v>
      </c>
      <c r="H31">
        <v>42220</v>
      </c>
      <c r="I31">
        <v>20</v>
      </c>
      <c r="J31" t="s">
        <v>1036</v>
      </c>
      <c r="K31">
        <v>67552</v>
      </c>
    </row>
    <row r="32" spans="1:1013" x14ac:dyDescent="0.25">
      <c r="A32" t="s">
        <v>40</v>
      </c>
      <c r="B32" s="1">
        <v>45069</v>
      </c>
      <c r="C32" t="s">
        <v>1012</v>
      </c>
      <c r="D32" t="s">
        <v>1015</v>
      </c>
      <c r="E32" t="s">
        <v>1025</v>
      </c>
      <c r="F32" t="s">
        <v>1034</v>
      </c>
      <c r="G32">
        <v>6</v>
      </c>
      <c r="H32">
        <v>35665</v>
      </c>
      <c r="I32">
        <v>5</v>
      </c>
      <c r="J32" t="s">
        <v>1036</v>
      </c>
      <c r="K32">
        <v>203290.5</v>
      </c>
    </row>
    <row r="33" spans="1:11" x14ac:dyDescent="0.25">
      <c r="A33" t="s">
        <v>41</v>
      </c>
      <c r="B33" s="1">
        <v>44930</v>
      </c>
      <c r="C33" t="s">
        <v>1010</v>
      </c>
      <c r="D33" t="s">
        <v>1021</v>
      </c>
      <c r="E33" t="s">
        <v>1027</v>
      </c>
      <c r="F33" t="s">
        <v>1034</v>
      </c>
      <c r="G33">
        <v>6</v>
      </c>
      <c r="H33">
        <v>6745</v>
      </c>
      <c r="I33">
        <v>5</v>
      </c>
      <c r="J33" t="s">
        <v>1037</v>
      </c>
      <c r="K33">
        <v>38446.5</v>
      </c>
    </row>
    <row r="34" spans="1:11" x14ac:dyDescent="0.25">
      <c r="A34" t="s">
        <v>42</v>
      </c>
      <c r="B34" s="1">
        <v>45008</v>
      </c>
      <c r="C34" t="s">
        <v>1010</v>
      </c>
      <c r="D34" t="s">
        <v>1014</v>
      </c>
      <c r="E34" t="s">
        <v>1022</v>
      </c>
      <c r="F34" t="s">
        <v>1034</v>
      </c>
      <c r="G34">
        <v>10</v>
      </c>
      <c r="H34">
        <v>32697</v>
      </c>
      <c r="I34">
        <v>0</v>
      </c>
      <c r="J34" t="s">
        <v>1038</v>
      </c>
      <c r="K34">
        <v>326970</v>
      </c>
    </row>
    <row r="35" spans="1:11" x14ac:dyDescent="0.25">
      <c r="A35" t="s">
        <v>43</v>
      </c>
      <c r="B35" s="1">
        <v>45284</v>
      </c>
      <c r="C35" t="s">
        <v>1013</v>
      </c>
      <c r="D35" t="s">
        <v>1020</v>
      </c>
      <c r="E35" t="s">
        <v>1031</v>
      </c>
      <c r="F35" t="s">
        <v>1033</v>
      </c>
      <c r="G35">
        <v>5</v>
      </c>
      <c r="H35">
        <v>48452</v>
      </c>
      <c r="I35">
        <v>15</v>
      </c>
      <c r="J35" t="s">
        <v>1037</v>
      </c>
      <c r="K35">
        <v>205921</v>
      </c>
    </row>
    <row r="36" spans="1:11" x14ac:dyDescent="0.25">
      <c r="A36" t="s">
        <v>44</v>
      </c>
      <c r="B36" s="1">
        <v>45143</v>
      </c>
      <c r="C36" t="s">
        <v>1012</v>
      </c>
      <c r="D36" t="s">
        <v>1021</v>
      </c>
      <c r="E36" t="s">
        <v>1023</v>
      </c>
      <c r="F36" t="s">
        <v>1032</v>
      </c>
      <c r="G36">
        <v>3</v>
      </c>
      <c r="H36">
        <v>46131</v>
      </c>
      <c r="I36">
        <v>20</v>
      </c>
      <c r="J36" t="s">
        <v>1036</v>
      </c>
      <c r="K36">
        <v>110714.4</v>
      </c>
    </row>
    <row r="37" spans="1:11" x14ac:dyDescent="0.25">
      <c r="A37" t="s">
        <v>45</v>
      </c>
      <c r="B37" s="1">
        <v>45101</v>
      </c>
      <c r="C37" t="s">
        <v>1010</v>
      </c>
      <c r="D37" t="s">
        <v>1014</v>
      </c>
      <c r="E37" t="s">
        <v>1027</v>
      </c>
      <c r="F37" t="s">
        <v>1033</v>
      </c>
      <c r="G37">
        <v>9</v>
      </c>
      <c r="H37">
        <v>40634</v>
      </c>
      <c r="I37">
        <v>0</v>
      </c>
      <c r="J37" t="s">
        <v>1038</v>
      </c>
      <c r="K37">
        <v>365706</v>
      </c>
    </row>
    <row r="38" spans="1:11" x14ac:dyDescent="0.25">
      <c r="A38" t="s">
        <v>46</v>
      </c>
      <c r="B38" s="1">
        <v>45069</v>
      </c>
      <c r="C38" t="s">
        <v>1010</v>
      </c>
      <c r="D38" t="s">
        <v>1017</v>
      </c>
      <c r="E38" t="s">
        <v>1031</v>
      </c>
      <c r="F38" t="s">
        <v>1034</v>
      </c>
      <c r="G38">
        <v>5</v>
      </c>
      <c r="H38">
        <v>47321</v>
      </c>
      <c r="I38">
        <v>0</v>
      </c>
      <c r="J38" t="s">
        <v>1037</v>
      </c>
      <c r="K38">
        <v>236605</v>
      </c>
    </row>
    <row r="39" spans="1:11" x14ac:dyDescent="0.25">
      <c r="A39" t="s">
        <v>47</v>
      </c>
      <c r="B39" s="1">
        <v>45006</v>
      </c>
      <c r="C39" t="s">
        <v>1011</v>
      </c>
      <c r="D39" t="s">
        <v>1016</v>
      </c>
      <c r="E39" t="s">
        <v>1022</v>
      </c>
      <c r="F39" t="s">
        <v>1032</v>
      </c>
      <c r="G39">
        <v>4</v>
      </c>
      <c r="H39">
        <v>19821</v>
      </c>
      <c r="I39">
        <v>5</v>
      </c>
      <c r="J39" t="s">
        <v>1035</v>
      </c>
      <c r="K39">
        <v>75319.8</v>
      </c>
    </row>
    <row r="40" spans="1:11" x14ac:dyDescent="0.25">
      <c r="A40" t="s">
        <v>48</v>
      </c>
      <c r="B40" s="1">
        <v>45037</v>
      </c>
      <c r="C40" t="s">
        <v>1010</v>
      </c>
      <c r="D40" t="s">
        <v>1018</v>
      </c>
      <c r="E40" t="s">
        <v>1028</v>
      </c>
      <c r="F40" t="s">
        <v>1032</v>
      </c>
      <c r="G40">
        <v>5</v>
      </c>
      <c r="H40">
        <v>28987</v>
      </c>
      <c r="I40">
        <v>15</v>
      </c>
      <c r="J40" t="s">
        <v>1035</v>
      </c>
      <c r="K40">
        <v>123194.75</v>
      </c>
    </row>
    <row r="41" spans="1:11" x14ac:dyDescent="0.25">
      <c r="A41" t="s">
        <v>49</v>
      </c>
      <c r="B41" s="1">
        <v>45099</v>
      </c>
      <c r="C41" t="s">
        <v>1013</v>
      </c>
      <c r="D41" t="s">
        <v>1015</v>
      </c>
      <c r="E41" t="s">
        <v>1022</v>
      </c>
      <c r="F41" t="s">
        <v>1032</v>
      </c>
      <c r="G41">
        <v>8</v>
      </c>
      <c r="H41">
        <v>40901</v>
      </c>
      <c r="I41">
        <v>20</v>
      </c>
      <c r="J41" t="s">
        <v>1039</v>
      </c>
      <c r="K41">
        <v>261766.39999999999</v>
      </c>
    </row>
    <row r="42" spans="1:11" x14ac:dyDescent="0.25">
      <c r="A42" t="s">
        <v>50</v>
      </c>
      <c r="B42" s="1">
        <v>44979</v>
      </c>
      <c r="C42" t="s">
        <v>1010</v>
      </c>
      <c r="D42" t="s">
        <v>1018</v>
      </c>
      <c r="E42" t="s">
        <v>1030</v>
      </c>
      <c r="F42" t="s">
        <v>1033</v>
      </c>
      <c r="G42">
        <v>10</v>
      </c>
      <c r="H42">
        <v>21741</v>
      </c>
      <c r="I42">
        <v>20</v>
      </c>
      <c r="J42" t="s">
        <v>1036</v>
      </c>
      <c r="K42">
        <v>173928</v>
      </c>
    </row>
    <row r="43" spans="1:11" x14ac:dyDescent="0.25">
      <c r="A43" t="s">
        <v>51</v>
      </c>
      <c r="B43" s="1">
        <v>44974</v>
      </c>
      <c r="C43" t="s">
        <v>1013</v>
      </c>
      <c r="D43" t="s">
        <v>1021</v>
      </c>
      <c r="E43" t="s">
        <v>1029</v>
      </c>
      <c r="F43" t="s">
        <v>1032</v>
      </c>
      <c r="G43">
        <v>6</v>
      </c>
      <c r="H43">
        <v>18017</v>
      </c>
      <c r="I43">
        <v>10</v>
      </c>
      <c r="J43" t="s">
        <v>1036</v>
      </c>
      <c r="K43">
        <v>97291.8</v>
      </c>
    </row>
    <row r="44" spans="1:11" x14ac:dyDescent="0.25">
      <c r="A44" t="s">
        <v>52</v>
      </c>
      <c r="B44" s="1">
        <v>45121</v>
      </c>
      <c r="C44" t="s">
        <v>1013</v>
      </c>
      <c r="D44" t="s">
        <v>1018</v>
      </c>
      <c r="E44" t="s">
        <v>1024</v>
      </c>
      <c r="F44" t="s">
        <v>1033</v>
      </c>
      <c r="G44">
        <v>6</v>
      </c>
      <c r="H44">
        <v>35432</v>
      </c>
      <c r="I44">
        <v>15</v>
      </c>
      <c r="J44" t="s">
        <v>1037</v>
      </c>
      <c r="K44">
        <v>180703.2</v>
      </c>
    </row>
    <row r="45" spans="1:11" x14ac:dyDescent="0.25">
      <c r="A45" t="s">
        <v>53</v>
      </c>
      <c r="B45" s="1">
        <v>44976</v>
      </c>
      <c r="C45" t="s">
        <v>1011</v>
      </c>
      <c r="D45" t="s">
        <v>1017</v>
      </c>
      <c r="E45" t="s">
        <v>1029</v>
      </c>
      <c r="F45" t="s">
        <v>1032</v>
      </c>
      <c r="G45">
        <v>3</v>
      </c>
      <c r="H45">
        <v>38692</v>
      </c>
      <c r="I45">
        <v>5</v>
      </c>
      <c r="J45" t="s">
        <v>1037</v>
      </c>
      <c r="K45">
        <v>110272.2</v>
      </c>
    </row>
    <row r="46" spans="1:11" x14ac:dyDescent="0.25">
      <c r="A46" t="s">
        <v>54</v>
      </c>
      <c r="B46" s="1">
        <v>45110</v>
      </c>
      <c r="C46" t="s">
        <v>1012</v>
      </c>
      <c r="D46" t="s">
        <v>1014</v>
      </c>
      <c r="E46" t="s">
        <v>1022</v>
      </c>
      <c r="F46" t="s">
        <v>1034</v>
      </c>
      <c r="G46">
        <v>8</v>
      </c>
      <c r="H46">
        <v>41844</v>
      </c>
      <c r="I46">
        <v>10</v>
      </c>
      <c r="J46" t="s">
        <v>1039</v>
      </c>
      <c r="K46">
        <v>301276.79999999999</v>
      </c>
    </row>
    <row r="47" spans="1:11" x14ac:dyDescent="0.25">
      <c r="A47" t="s">
        <v>55</v>
      </c>
      <c r="B47" s="1">
        <v>45103</v>
      </c>
      <c r="C47" t="s">
        <v>1013</v>
      </c>
      <c r="D47" t="s">
        <v>1015</v>
      </c>
      <c r="E47" t="s">
        <v>1028</v>
      </c>
      <c r="F47" t="s">
        <v>1033</v>
      </c>
      <c r="G47">
        <v>7</v>
      </c>
      <c r="H47">
        <v>24190</v>
      </c>
      <c r="I47">
        <v>5</v>
      </c>
      <c r="J47" t="s">
        <v>1037</v>
      </c>
      <c r="K47">
        <v>160863.5</v>
      </c>
    </row>
    <row r="48" spans="1:11" x14ac:dyDescent="0.25">
      <c r="A48" t="s">
        <v>56</v>
      </c>
      <c r="B48" s="1">
        <v>45236</v>
      </c>
      <c r="C48" t="s">
        <v>1010</v>
      </c>
      <c r="D48" t="s">
        <v>1021</v>
      </c>
      <c r="E48" t="s">
        <v>1023</v>
      </c>
      <c r="F48" t="s">
        <v>1032</v>
      </c>
      <c r="G48">
        <v>4</v>
      </c>
      <c r="H48">
        <v>9500</v>
      </c>
      <c r="I48">
        <v>0</v>
      </c>
      <c r="J48" t="s">
        <v>1039</v>
      </c>
      <c r="K48">
        <v>38000</v>
      </c>
    </row>
    <row r="49" spans="1:14" x14ac:dyDescent="0.25">
      <c r="A49" t="s">
        <v>57</v>
      </c>
      <c r="B49" s="1">
        <v>45062</v>
      </c>
      <c r="C49" t="s">
        <v>1010</v>
      </c>
      <c r="D49" t="s">
        <v>1016</v>
      </c>
      <c r="E49" t="s">
        <v>1029</v>
      </c>
      <c r="F49" t="s">
        <v>1033</v>
      </c>
      <c r="G49">
        <v>7</v>
      </c>
      <c r="H49">
        <v>41258</v>
      </c>
      <c r="I49">
        <v>10</v>
      </c>
      <c r="J49" t="s">
        <v>1038</v>
      </c>
      <c r="K49">
        <v>259925.4</v>
      </c>
    </row>
    <row r="50" spans="1:14" x14ac:dyDescent="0.25">
      <c r="A50" t="s">
        <v>58</v>
      </c>
      <c r="B50" s="1">
        <v>44949</v>
      </c>
      <c r="C50" t="s">
        <v>1013</v>
      </c>
      <c r="D50" t="s">
        <v>1017</v>
      </c>
      <c r="E50" t="s">
        <v>1023</v>
      </c>
      <c r="F50" t="s">
        <v>1032</v>
      </c>
      <c r="G50">
        <v>6</v>
      </c>
      <c r="H50">
        <v>37872</v>
      </c>
      <c r="I50">
        <v>5</v>
      </c>
      <c r="J50" t="s">
        <v>1035</v>
      </c>
      <c r="K50">
        <v>215870.4</v>
      </c>
    </row>
    <row r="51" spans="1:14" x14ac:dyDescent="0.25">
      <c r="A51" t="s">
        <v>59</v>
      </c>
      <c r="B51" s="1">
        <v>45162</v>
      </c>
      <c r="C51" t="s">
        <v>1010</v>
      </c>
      <c r="D51" t="s">
        <v>1018</v>
      </c>
      <c r="E51" t="s">
        <v>1029</v>
      </c>
      <c r="F51" t="s">
        <v>1034</v>
      </c>
      <c r="G51">
        <v>6</v>
      </c>
      <c r="H51">
        <v>33531</v>
      </c>
      <c r="I51">
        <v>0</v>
      </c>
      <c r="J51" t="s">
        <v>1038</v>
      </c>
      <c r="K51">
        <v>201186</v>
      </c>
    </row>
    <row r="52" spans="1:14" x14ac:dyDescent="0.25">
      <c r="A52" t="s">
        <v>60</v>
      </c>
      <c r="B52" s="1">
        <v>45201</v>
      </c>
      <c r="C52" t="s">
        <v>1011</v>
      </c>
      <c r="D52" t="s">
        <v>1016</v>
      </c>
      <c r="E52" t="s">
        <v>1024</v>
      </c>
      <c r="F52" t="s">
        <v>1034</v>
      </c>
      <c r="G52">
        <v>7</v>
      </c>
      <c r="H52">
        <v>35059</v>
      </c>
      <c r="I52">
        <v>5</v>
      </c>
      <c r="J52" t="s">
        <v>1038</v>
      </c>
      <c r="K52">
        <v>233142.35</v>
      </c>
    </row>
    <row r="53" spans="1:14" x14ac:dyDescent="0.25">
      <c r="A53" t="s">
        <v>61</v>
      </c>
      <c r="B53" s="1">
        <v>44990</v>
      </c>
      <c r="C53" t="s">
        <v>1010</v>
      </c>
      <c r="D53" t="s">
        <v>1015</v>
      </c>
      <c r="E53" t="s">
        <v>1025</v>
      </c>
      <c r="F53" t="s">
        <v>1034</v>
      </c>
      <c r="G53">
        <v>5</v>
      </c>
      <c r="H53">
        <v>48787</v>
      </c>
      <c r="I53">
        <v>15</v>
      </c>
      <c r="J53" t="s">
        <v>1037</v>
      </c>
      <c r="K53">
        <v>207344.75</v>
      </c>
    </row>
    <row r="54" spans="1:14" x14ac:dyDescent="0.25">
      <c r="A54" t="s">
        <v>62</v>
      </c>
      <c r="B54" s="1">
        <v>45120</v>
      </c>
      <c r="C54" t="s">
        <v>1011</v>
      </c>
      <c r="D54" t="s">
        <v>1017</v>
      </c>
      <c r="E54" t="s">
        <v>1026</v>
      </c>
      <c r="F54" t="s">
        <v>1032</v>
      </c>
      <c r="G54">
        <v>8</v>
      </c>
      <c r="H54">
        <v>42409</v>
      </c>
      <c r="I54">
        <v>5</v>
      </c>
      <c r="J54" t="s">
        <v>1035</v>
      </c>
      <c r="K54">
        <v>322308.40000000002</v>
      </c>
    </row>
    <row r="55" spans="1:14" x14ac:dyDescent="0.25">
      <c r="A55" t="s">
        <v>63</v>
      </c>
      <c r="B55" s="1">
        <v>44967</v>
      </c>
      <c r="C55" t="s">
        <v>1013</v>
      </c>
      <c r="D55" t="s">
        <v>1016</v>
      </c>
      <c r="E55" t="s">
        <v>1022</v>
      </c>
      <c r="F55" t="s">
        <v>1033</v>
      </c>
      <c r="G55">
        <v>3</v>
      </c>
      <c r="H55">
        <v>33619</v>
      </c>
      <c r="I55">
        <v>15</v>
      </c>
      <c r="J55" t="s">
        <v>1037</v>
      </c>
      <c r="K55">
        <v>85728.45</v>
      </c>
      <c r="M55" s="4" t="s">
        <v>1040</v>
      </c>
      <c r="N55" t="s">
        <v>1042</v>
      </c>
    </row>
    <row r="56" spans="1:14" x14ac:dyDescent="0.25">
      <c r="A56" t="s">
        <v>64</v>
      </c>
      <c r="B56" s="1">
        <v>45209</v>
      </c>
      <c r="C56" t="s">
        <v>1013</v>
      </c>
      <c r="D56" t="s">
        <v>1016</v>
      </c>
      <c r="E56" t="s">
        <v>1028</v>
      </c>
      <c r="F56" t="s">
        <v>1033</v>
      </c>
      <c r="G56">
        <v>10</v>
      </c>
      <c r="H56">
        <v>33276</v>
      </c>
      <c r="I56">
        <v>5</v>
      </c>
      <c r="J56" t="s">
        <v>1039</v>
      </c>
      <c r="K56">
        <v>316122</v>
      </c>
      <c r="M56" s="5" t="s">
        <v>1039</v>
      </c>
      <c r="N56" s="6">
        <v>22139562.349999998</v>
      </c>
    </row>
    <row r="57" spans="1:14" x14ac:dyDescent="0.25">
      <c r="A57" t="s">
        <v>65</v>
      </c>
      <c r="B57" s="1">
        <v>45077</v>
      </c>
      <c r="C57" t="s">
        <v>1013</v>
      </c>
      <c r="D57" t="s">
        <v>1019</v>
      </c>
      <c r="E57" t="s">
        <v>1022</v>
      </c>
      <c r="F57" t="s">
        <v>1034</v>
      </c>
      <c r="G57">
        <v>3</v>
      </c>
      <c r="H57">
        <v>12790</v>
      </c>
      <c r="I57">
        <v>0</v>
      </c>
      <c r="J57" t="s">
        <v>1035</v>
      </c>
      <c r="K57">
        <v>38370</v>
      </c>
      <c r="M57" s="5" t="s">
        <v>1036</v>
      </c>
      <c r="N57" s="6">
        <v>25588165.250000015</v>
      </c>
    </row>
    <row r="58" spans="1:14" x14ac:dyDescent="0.25">
      <c r="A58" t="s">
        <v>66</v>
      </c>
      <c r="B58" s="1">
        <v>45248</v>
      </c>
      <c r="C58" t="s">
        <v>1011</v>
      </c>
      <c r="D58" t="s">
        <v>1017</v>
      </c>
      <c r="E58" t="s">
        <v>1024</v>
      </c>
      <c r="F58" t="s">
        <v>1034</v>
      </c>
      <c r="G58">
        <v>10</v>
      </c>
      <c r="H58">
        <v>40938</v>
      </c>
      <c r="I58">
        <v>15</v>
      </c>
      <c r="J58" t="s">
        <v>1035</v>
      </c>
      <c r="K58">
        <v>347973</v>
      </c>
      <c r="M58" s="5" t="s">
        <v>1037</v>
      </c>
      <c r="N58" s="6">
        <v>24020899.25</v>
      </c>
    </row>
    <row r="59" spans="1:14" x14ac:dyDescent="0.25">
      <c r="A59" t="s">
        <v>67</v>
      </c>
      <c r="B59" s="1">
        <v>45243</v>
      </c>
      <c r="C59" t="s">
        <v>1010</v>
      </c>
      <c r="D59" t="s">
        <v>1021</v>
      </c>
      <c r="E59" t="s">
        <v>1031</v>
      </c>
      <c r="F59" t="s">
        <v>1034</v>
      </c>
      <c r="G59">
        <v>4</v>
      </c>
      <c r="H59">
        <v>16251</v>
      </c>
      <c r="I59">
        <v>20</v>
      </c>
      <c r="J59" t="s">
        <v>1037</v>
      </c>
      <c r="K59">
        <v>52003.199999999997</v>
      </c>
      <c r="M59" s="5" t="s">
        <v>1038</v>
      </c>
      <c r="N59" s="6">
        <v>29970952.849999998</v>
      </c>
    </row>
    <row r="60" spans="1:14" x14ac:dyDescent="0.25">
      <c r="A60" t="s">
        <v>68</v>
      </c>
      <c r="B60" s="1">
        <v>45112</v>
      </c>
      <c r="C60" t="s">
        <v>1011</v>
      </c>
      <c r="D60" t="s">
        <v>1021</v>
      </c>
      <c r="E60" t="s">
        <v>1029</v>
      </c>
      <c r="F60" t="s">
        <v>1032</v>
      </c>
      <c r="G60">
        <v>2</v>
      </c>
      <c r="H60">
        <v>47437</v>
      </c>
      <c r="I60">
        <v>15</v>
      </c>
      <c r="J60" t="s">
        <v>1036</v>
      </c>
      <c r="K60">
        <v>80642.899999999994</v>
      </c>
      <c r="M60" s="5" t="s">
        <v>1035</v>
      </c>
      <c r="N60" s="6">
        <v>25839822.199999999</v>
      </c>
    </row>
    <row r="61" spans="1:14" x14ac:dyDescent="0.25">
      <c r="A61" t="s">
        <v>69</v>
      </c>
      <c r="B61" s="1">
        <v>45222</v>
      </c>
      <c r="C61" t="s">
        <v>1010</v>
      </c>
      <c r="D61" t="s">
        <v>1019</v>
      </c>
      <c r="E61" t="s">
        <v>1030</v>
      </c>
      <c r="F61" t="s">
        <v>1033</v>
      </c>
      <c r="G61">
        <v>5</v>
      </c>
      <c r="H61">
        <v>20037</v>
      </c>
      <c r="I61">
        <v>0</v>
      </c>
      <c r="J61" t="s">
        <v>1038</v>
      </c>
      <c r="K61">
        <v>100185</v>
      </c>
      <c r="M61" s="5" t="s">
        <v>1041</v>
      </c>
      <c r="N61" s="6">
        <v>127559401.90000001</v>
      </c>
    </row>
    <row r="62" spans="1:14" x14ac:dyDescent="0.25">
      <c r="A62" t="s">
        <v>70</v>
      </c>
      <c r="B62" s="1">
        <v>45025</v>
      </c>
      <c r="C62" t="s">
        <v>1010</v>
      </c>
      <c r="D62" t="s">
        <v>1019</v>
      </c>
      <c r="E62" t="s">
        <v>1025</v>
      </c>
      <c r="F62" t="s">
        <v>1032</v>
      </c>
      <c r="G62">
        <v>4</v>
      </c>
      <c r="H62">
        <v>13684</v>
      </c>
      <c r="I62">
        <v>15</v>
      </c>
      <c r="J62" t="s">
        <v>1035</v>
      </c>
      <c r="K62">
        <v>46525.599999999999</v>
      </c>
    </row>
    <row r="63" spans="1:14" x14ac:dyDescent="0.25">
      <c r="A63" t="s">
        <v>71</v>
      </c>
      <c r="B63" s="1">
        <v>45287</v>
      </c>
      <c r="C63" t="s">
        <v>1011</v>
      </c>
      <c r="D63" t="s">
        <v>1021</v>
      </c>
      <c r="E63" t="s">
        <v>1026</v>
      </c>
      <c r="F63" t="s">
        <v>1034</v>
      </c>
      <c r="G63">
        <v>9</v>
      </c>
      <c r="H63">
        <v>1103</v>
      </c>
      <c r="I63">
        <v>5</v>
      </c>
      <c r="J63" t="s">
        <v>1037</v>
      </c>
      <c r="K63">
        <v>9430.65</v>
      </c>
    </row>
    <row r="64" spans="1:14" x14ac:dyDescent="0.25">
      <c r="A64" t="s">
        <v>72</v>
      </c>
      <c r="B64" s="1">
        <v>44962</v>
      </c>
      <c r="C64" t="s">
        <v>1012</v>
      </c>
      <c r="D64" t="s">
        <v>1019</v>
      </c>
      <c r="E64" t="s">
        <v>1029</v>
      </c>
      <c r="F64" t="s">
        <v>1034</v>
      </c>
      <c r="G64">
        <v>7</v>
      </c>
      <c r="H64">
        <v>8746</v>
      </c>
      <c r="I64">
        <v>5</v>
      </c>
      <c r="J64" t="s">
        <v>1038</v>
      </c>
      <c r="K64">
        <v>58160.899999999987</v>
      </c>
    </row>
    <row r="65" spans="1:11" x14ac:dyDescent="0.25">
      <c r="A65" t="s">
        <v>73</v>
      </c>
      <c r="B65" s="1">
        <v>44950</v>
      </c>
      <c r="C65" t="s">
        <v>1013</v>
      </c>
      <c r="D65" t="s">
        <v>1019</v>
      </c>
      <c r="E65" t="s">
        <v>1022</v>
      </c>
      <c r="F65" t="s">
        <v>1032</v>
      </c>
      <c r="G65">
        <v>7</v>
      </c>
      <c r="H65">
        <v>2571</v>
      </c>
      <c r="I65">
        <v>20</v>
      </c>
      <c r="J65" t="s">
        <v>1038</v>
      </c>
      <c r="K65">
        <v>14397.6</v>
      </c>
    </row>
    <row r="66" spans="1:11" x14ac:dyDescent="0.25">
      <c r="A66" t="s">
        <v>74</v>
      </c>
      <c r="B66" s="1">
        <v>45265</v>
      </c>
      <c r="C66" t="s">
        <v>1010</v>
      </c>
      <c r="D66" t="s">
        <v>1021</v>
      </c>
      <c r="E66" t="s">
        <v>1028</v>
      </c>
      <c r="F66" t="s">
        <v>1034</v>
      </c>
      <c r="G66">
        <v>4</v>
      </c>
      <c r="H66">
        <v>31466</v>
      </c>
      <c r="I66">
        <v>15</v>
      </c>
      <c r="J66" t="s">
        <v>1039</v>
      </c>
      <c r="K66">
        <v>106984.4</v>
      </c>
    </row>
    <row r="67" spans="1:11" x14ac:dyDescent="0.25">
      <c r="A67" t="s">
        <v>75</v>
      </c>
      <c r="B67" s="1">
        <v>45043</v>
      </c>
      <c r="C67" t="s">
        <v>1010</v>
      </c>
      <c r="D67" t="s">
        <v>1017</v>
      </c>
      <c r="E67" t="s">
        <v>1024</v>
      </c>
      <c r="F67" t="s">
        <v>1033</v>
      </c>
      <c r="G67">
        <v>3</v>
      </c>
      <c r="H67">
        <v>41990</v>
      </c>
      <c r="I67">
        <v>5</v>
      </c>
      <c r="J67" t="s">
        <v>1037</v>
      </c>
      <c r="K67">
        <v>119671.5</v>
      </c>
    </row>
    <row r="68" spans="1:11" x14ac:dyDescent="0.25">
      <c r="A68" t="s">
        <v>76</v>
      </c>
      <c r="B68" s="1">
        <v>45075</v>
      </c>
      <c r="C68" t="s">
        <v>1011</v>
      </c>
      <c r="D68" t="s">
        <v>1016</v>
      </c>
      <c r="E68" t="s">
        <v>1023</v>
      </c>
      <c r="F68" t="s">
        <v>1034</v>
      </c>
      <c r="G68">
        <v>3</v>
      </c>
      <c r="H68">
        <v>8728</v>
      </c>
      <c r="I68">
        <v>15</v>
      </c>
      <c r="J68" t="s">
        <v>1036</v>
      </c>
      <c r="K68">
        <v>22256.400000000001</v>
      </c>
    </row>
    <row r="69" spans="1:11" x14ac:dyDescent="0.25">
      <c r="A69" t="s">
        <v>77</v>
      </c>
      <c r="B69" s="1">
        <v>44967</v>
      </c>
      <c r="C69" t="s">
        <v>1012</v>
      </c>
      <c r="D69" t="s">
        <v>1017</v>
      </c>
      <c r="E69" t="s">
        <v>1031</v>
      </c>
      <c r="F69" t="s">
        <v>1033</v>
      </c>
      <c r="G69">
        <v>8</v>
      </c>
      <c r="H69">
        <v>49330</v>
      </c>
      <c r="I69">
        <v>10</v>
      </c>
      <c r="J69" t="s">
        <v>1036</v>
      </c>
      <c r="K69">
        <v>355176</v>
      </c>
    </row>
    <row r="70" spans="1:11" x14ac:dyDescent="0.25">
      <c r="A70" t="s">
        <v>78</v>
      </c>
      <c r="B70" s="1">
        <v>45046</v>
      </c>
      <c r="C70" t="s">
        <v>1013</v>
      </c>
      <c r="D70" t="s">
        <v>1016</v>
      </c>
      <c r="E70" t="s">
        <v>1026</v>
      </c>
      <c r="F70" t="s">
        <v>1034</v>
      </c>
      <c r="G70">
        <v>1</v>
      </c>
      <c r="H70">
        <v>14587</v>
      </c>
      <c r="I70">
        <v>5</v>
      </c>
      <c r="J70" t="s">
        <v>1039</v>
      </c>
      <c r="K70">
        <v>13857.65</v>
      </c>
    </row>
    <row r="71" spans="1:11" x14ac:dyDescent="0.25">
      <c r="A71" t="s">
        <v>79</v>
      </c>
      <c r="B71" s="1">
        <v>44978</v>
      </c>
      <c r="C71" t="s">
        <v>1012</v>
      </c>
      <c r="D71" t="s">
        <v>1019</v>
      </c>
      <c r="E71" t="s">
        <v>1027</v>
      </c>
      <c r="F71" t="s">
        <v>1032</v>
      </c>
      <c r="G71">
        <v>3</v>
      </c>
      <c r="H71">
        <v>41324</v>
      </c>
      <c r="I71">
        <v>15</v>
      </c>
      <c r="J71" t="s">
        <v>1039</v>
      </c>
      <c r="K71">
        <v>105376.2</v>
      </c>
    </row>
    <row r="72" spans="1:11" x14ac:dyDescent="0.25">
      <c r="A72" t="s">
        <v>80</v>
      </c>
      <c r="B72" s="1">
        <v>45121</v>
      </c>
      <c r="C72" t="s">
        <v>1013</v>
      </c>
      <c r="D72" t="s">
        <v>1019</v>
      </c>
      <c r="E72" t="s">
        <v>1026</v>
      </c>
      <c r="F72" t="s">
        <v>1034</v>
      </c>
      <c r="G72">
        <v>7</v>
      </c>
      <c r="H72">
        <v>28173</v>
      </c>
      <c r="I72">
        <v>5</v>
      </c>
      <c r="J72" t="s">
        <v>1037</v>
      </c>
      <c r="K72">
        <v>187350.45</v>
      </c>
    </row>
    <row r="73" spans="1:11" x14ac:dyDescent="0.25">
      <c r="A73" t="s">
        <v>81</v>
      </c>
      <c r="B73" s="1">
        <v>45069</v>
      </c>
      <c r="C73" t="s">
        <v>1010</v>
      </c>
      <c r="D73" t="s">
        <v>1020</v>
      </c>
      <c r="E73" t="s">
        <v>1028</v>
      </c>
      <c r="F73" t="s">
        <v>1034</v>
      </c>
      <c r="G73">
        <v>8</v>
      </c>
      <c r="H73">
        <v>28134</v>
      </c>
      <c r="I73">
        <v>10</v>
      </c>
      <c r="J73" t="s">
        <v>1036</v>
      </c>
      <c r="K73">
        <v>202564.8</v>
      </c>
    </row>
    <row r="74" spans="1:11" x14ac:dyDescent="0.25">
      <c r="A74" t="s">
        <v>82</v>
      </c>
      <c r="B74" s="1">
        <v>45159</v>
      </c>
      <c r="C74" t="s">
        <v>1010</v>
      </c>
      <c r="D74" t="s">
        <v>1018</v>
      </c>
      <c r="E74" t="s">
        <v>1030</v>
      </c>
      <c r="F74" t="s">
        <v>1032</v>
      </c>
      <c r="G74">
        <v>3</v>
      </c>
      <c r="H74">
        <v>3981</v>
      </c>
      <c r="I74">
        <v>10</v>
      </c>
      <c r="J74" t="s">
        <v>1038</v>
      </c>
      <c r="K74">
        <v>10748.7</v>
      </c>
    </row>
    <row r="75" spans="1:11" x14ac:dyDescent="0.25">
      <c r="A75" t="s">
        <v>83</v>
      </c>
      <c r="B75" s="1">
        <v>45252</v>
      </c>
      <c r="C75" t="s">
        <v>1011</v>
      </c>
      <c r="D75" t="s">
        <v>1018</v>
      </c>
      <c r="E75" t="s">
        <v>1024</v>
      </c>
      <c r="F75" t="s">
        <v>1034</v>
      </c>
      <c r="G75">
        <v>9</v>
      </c>
      <c r="H75">
        <v>22875</v>
      </c>
      <c r="I75">
        <v>5</v>
      </c>
      <c r="J75" t="s">
        <v>1037</v>
      </c>
      <c r="K75">
        <v>195581.25</v>
      </c>
    </row>
    <row r="76" spans="1:11" x14ac:dyDescent="0.25">
      <c r="A76" t="s">
        <v>84</v>
      </c>
      <c r="B76" s="1">
        <v>45113</v>
      </c>
      <c r="C76" t="s">
        <v>1011</v>
      </c>
      <c r="D76" t="s">
        <v>1016</v>
      </c>
      <c r="E76" t="s">
        <v>1026</v>
      </c>
      <c r="F76" t="s">
        <v>1032</v>
      </c>
      <c r="G76">
        <v>9</v>
      </c>
      <c r="H76">
        <v>23914</v>
      </c>
      <c r="I76">
        <v>10</v>
      </c>
      <c r="J76" t="s">
        <v>1035</v>
      </c>
      <c r="K76">
        <v>193703.4</v>
      </c>
    </row>
    <row r="77" spans="1:11" x14ac:dyDescent="0.25">
      <c r="A77" t="s">
        <v>85</v>
      </c>
      <c r="B77" s="1">
        <v>45010</v>
      </c>
      <c r="C77" t="s">
        <v>1012</v>
      </c>
      <c r="D77" t="s">
        <v>1015</v>
      </c>
      <c r="E77" t="s">
        <v>1027</v>
      </c>
      <c r="F77" t="s">
        <v>1032</v>
      </c>
      <c r="G77">
        <v>6</v>
      </c>
      <c r="H77">
        <v>37727</v>
      </c>
      <c r="I77">
        <v>5</v>
      </c>
      <c r="J77" t="s">
        <v>1037</v>
      </c>
      <c r="K77">
        <v>215043.9</v>
      </c>
    </row>
    <row r="78" spans="1:11" x14ac:dyDescent="0.25">
      <c r="A78" t="s">
        <v>86</v>
      </c>
      <c r="B78" s="1">
        <v>45116</v>
      </c>
      <c r="C78" t="s">
        <v>1012</v>
      </c>
      <c r="D78" t="s">
        <v>1019</v>
      </c>
      <c r="E78" t="s">
        <v>1027</v>
      </c>
      <c r="F78" t="s">
        <v>1033</v>
      </c>
      <c r="G78">
        <v>8</v>
      </c>
      <c r="H78">
        <v>42779</v>
      </c>
      <c r="I78">
        <v>0</v>
      </c>
      <c r="J78" t="s">
        <v>1036</v>
      </c>
      <c r="K78">
        <v>342232</v>
      </c>
    </row>
    <row r="79" spans="1:11" x14ac:dyDescent="0.25">
      <c r="A79" t="s">
        <v>87</v>
      </c>
      <c r="B79" s="1">
        <v>45108</v>
      </c>
      <c r="C79" t="s">
        <v>1013</v>
      </c>
      <c r="D79" t="s">
        <v>1014</v>
      </c>
      <c r="E79" t="s">
        <v>1029</v>
      </c>
      <c r="F79" t="s">
        <v>1034</v>
      </c>
      <c r="G79">
        <v>5</v>
      </c>
      <c r="H79">
        <v>14915</v>
      </c>
      <c r="I79">
        <v>20</v>
      </c>
      <c r="J79" t="s">
        <v>1038</v>
      </c>
      <c r="K79">
        <v>59660</v>
      </c>
    </row>
    <row r="80" spans="1:11" x14ac:dyDescent="0.25">
      <c r="A80" t="s">
        <v>88</v>
      </c>
      <c r="B80" s="1">
        <v>45034</v>
      </c>
      <c r="C80" t="s">
        <v>1011</v>
      </c>
      <c r="D80" t="s">
        <v>1019</v>
      </c>
      <c r="E80" t="s">
        <v>1024</v>
      </c>
      <c r="F80" t="s">
        <v>1034</v>
      </c>
      <c r="G80">
        <v>5</v>
      </c>
      <c r="H80">
        <v>1740</v>
      </c>
      <c r="I80">
        <v>0</v>
      </c>
      <c r="J80" t="s">
        <v>1039</v>
      </c>
      <c r="K80">
        <v>8700</v>
      </c>
    </row>
    <row r="81" spans="1:11" x14ac:dyDescent="0.25">
      <c r="A81" t="s">
        <v>89</v>
      </c>
      <c r="B81" s="1">
        <v>45270</v>
      </c>
      <c r="C81" t="s">
        <v>1010</v>
      </c>
      <c r="D81" t="s">
        <v>1020</v>
      </c>
      <c r="E81" t="s">
        <v>1030</v>
      </c>
      <c r="F81" t="s">
        <v>1034</v>
      </c>
      <c r="G81">
        <v>9</v>
      </c>
      <c r="H81">
        <v>42983</v>
      </c>
      <c r="I81">
        <v>10</v>
      </c>
      <c r="J81" t="s">
        <v>1038</v>
      </c>
      <c r="K81">
        <v>348162.3</v>
      </c>
    </row>
    <row r="82" spans="1:11" x14ac:dyDescent="0.25">
      <c r="A82" t="s">
        <v>90</v>
      </c>
      <c r="B82" s="1">
        <v>45063</v>
      </c>
      <c r="C82" t="s">
        <v>1011</v>
      </c>
      <c r="D82" t="s">
        <v>1016</v>
      </c>
      <c r="E82" t="s">
        <v>1022</v>
      </c>
      <c r="F82" t="s">
        <v>1033</v>
      </c>
      <c r="G82">
        <v>10</v>
      </c>
      <c r="H82">
        <v>14185</v>
      </c>
      <c r="I82">
        <v>5</v>
      </c>
      <c r="J82" t="s">
        <v>1039</v>
      </c>
      <c r="K82">
        <v>134757.5</v>
      </c>
    </row>
    <row r="83" spans="1:11" x14ac:dyDescent="0.25">
      <c r="A83" t="s">
        <v>91</v>
      </c>
      <c r="B83" s="1">
        <v>45286</v>
      </c>
      <c r="C83" t="s">
        <v>1012</v>
      </c>
      <c r="D83" t="s">
        <v>1017</v>
      </c>
      <c r="E83" t="s">
        <v>1025</v>
      </c>
      <c r="F83" t="s">
        <v>1034</v>
      </c>
      <c r="G83">
        <v>1</v>
      </c>
      <c r="H83">
        <v>46220</v>
      </c>
      <c r="I83">
        <v>0</v>
      </c>
      <c r="J83" t="s">
        <v>1035</v>
      </c>
      <c r="K83">
        <v>46220</v>
      </c>
    </row>
    <row r="84" spans="1:11" x14ac:dyDescent="0.25">
      <c r="A84" t="s">
        <v>92</v>
      </c>
      <c r="B84" s="1">
        <v>45276</v>
      </c>
      <c r="C84" t="s">
        <v>1011</v>
      </c>
      <c r="D84" t="s">
        <v>1019</v>
      </c>
      <c r="E84" t="s">
        <v>1025</v>
      </c>
      <c r="F84" t="s">
        <v>1033</v>
      </c>
      <c r="G84">
        <v>7</v>
      </c>
      <c r="H84">
        <v>19456</v>
      </c>
      <c r="I84">
        <v>15</v>
      </c>
      <c r="J84" t="s">
        <v>1037</v>
      </c>
      <c r="K84">
        <v>115763.2</v>
      </c>
    </row>
    <row r="85" spans="1:11" x14ac:dyDescent="0.25">
      <c r="A85" t="s">
        <v>93</v>
      </c>
      <c r="B85" s="1">
        <v>45258</v>
      </c>
      <c r="C85" t="s">
        <v>1010</v>
      </c>
      <c r="D85" t="s">
        <v>1017</v>
      </c>
      <c r="E85" t="s">
        <v>1023</v>
      </c>
      <c r="F85" t="s">
        <v>1033</v>
      </c>
      <c r="G85">
        <v>2</v>
      </c>
      <c r="H85">
        <v>17673</v>
      </c>
      <c r="I85">
        <v>15</v>
      </c>
      <c r="J85" t="s">
        <v>1036</v>
      </c>
      <c r="K85">
        <v>30044.1</v>
      </c>
    </row>
    <row r="86" spans="1:11" x14ac:dyDescent="0.25">
      <c r="A86" t="s">
        <v>94</v>
      </c>
      <c r="B86" s="1">
        <v>44963</v>
      </c>
      <c r="C86" t="s">
        <v>1011</v>
      </c>
      <c r="D86" t="s">
        <v>1021</v>
      </c>
      <c r="E86" t="s">
        <v>1024</v>
      </c>
      <c r="F86" t="s">
        <v>1034</v>
      </c>
      <c r="G86">
        <v>3</v>
      </c>
      <c r="H86">
        <v>5445</v>
      </c>
      <c r="I86">
        <v>15</v>
      </c>
      <c r="J86" t="s">
        <v>1035</v>
      </c>
      <c r="K86">
        <v>13884.75</v>
      </c>
    </row>
    <row r="87" spans="1:11" x14ac:dyDescent="0.25">
      <c r="A87" t="s">
        <v>95</v>
      </c>
      <c r="B87" s="1">
        <v>45238</v>
      </c>
      <c r="C87" t="s">
        <v>1012</v>
      </c>
      <c r="D87" t="s">
        <v>1021</v>
      </c>
      <c r="E87" t="s">
        <v>1023</v>
      </c>
      <c r="F87" t="s">
        <v>1034</v>
      </c>
      <c r="G87">
        <v>1</v>
      </c>
      <c r="H87">
        <v>21170</v>
      </c>
      <c r="I87">
        <v>5</v>
      </c>
      <c r="J87" t="s">
        <v>1037</v>
      </c>
      <c r="K87">
        <v>20111.5</v>
      </c>
    </row>
    <row r="88" spans="1:11" x14ac:dyDescent="0.25">
      <c r="A88" t="s">
        <v>96</v>
      </c>
      <c r="B88" s="1">
        <v>45252</v>
      </c>
      <c r="C88" t="s">
        <v>1010</v>
      </c>
      <c r="D88" t="s">
        <v>1019</v>
      </c>
      <c r="E88" t="s">
        <v>1023</v>
      </c>
      <c r="F88" t="s">
        <v>1032</v>
      </c>
      <c r="G88">
        <v>4</v>
      </c>
      <c r="H88">
        <v>20679</v>
      </c>
      <c r="I88">
        <v>10</v>
      </c>
      <c r="J88" t="s">
        <v>1039</v>
      </c>
      <c r="K88">
        <v>74444.400000000009</v>
      </c>
    </row>
    <row r="89" spans="1:11" x14ac:dyDescent="0.25">
      <c r="A89" t="s">
        <v>97</v>
      </c>
      <c r="B89" s="1">
        <v>45014</v>
      </c>
      <c r="C89" t="s">
        <v>1013</v>
      </c>
      <c r="D89" t="s">
        <v>1019</v>
      </c>
      <c r="E89" t="s">
        <v>1031</v>
      </c>
      <c r="F89" t="s">
        <v>1033</v>
      </c>
      <c r="G89">
        <v>5</v>
      </c>
      <c r="H89">
        <v>34206</v>
      </c>
      <c r="I89">
        <v>5</v>
      </c>
      <c r="J89" t="s">
        <v>1036</v>
      </c>
      <c r="K89">
        <v>162478.5</v>
      </c>
    </row>
    <row r="90" spans="1:11" x14ac:dyDescent="0.25">
      <c r="A90" t="s">
        <v>98</v>
      </c>
      <c r="B90" s="1">
        <v>45200</v>
      </c>
      <c r="C90" t="s">
        <v>1013</v>
      </c>
      <c r="D90" t="s">
        <v>1015</v>
      </c>
      <c r="E90" t="s">
        <v>1025</v>
      </c>
      <c r="F90" t="s">
        <v>1033</v>
      </c>
      <c r="G90">
        <v>8</v>
      </c>
      <c r="H90">
        <v>37044</v>
      </c>
      <c r="I90">
        <v>10</v>
      </c>
      <c r="J90" t="s">
        <v>1036</v>
      </c>
      <c r="K90">
        <v>266716.79999999999</v>
      </c>
    </row>
    <row r="91" spans="1:11" x14ac:dyDescent="0.25">
      <c r="A91" t="s">
        <v>99</v>
      </c>
      <c r="B91" s="1">
        <v>45052</v>
      </c>
      <c r="C91" t="s">
        <v>1010</v>
      </c>
      <c r="D91" t="s">
        <v>1020</v>
      </c>
      <c r="E91" t="s">
        <v>1022</v>
      </c>
      <c r="F91" t="s">
        <v>1033</v>
      </c>
      <c r="G91">
        <v>2</v>
      </c>
      <c r="H91">
        <v>22228</v>
      </c>
      <c r="I91">
        <v>20</v>
      </c>
      <c r="J91" t="s">
        <v>1039</v>
      </c>
      <c r="K91">
        <v>35564.800000000003</v>
      </c>
    </row>
    <row r="92" spans="1:11" x14ac:dyDescent="0.25">
      <c r="A92" t="s">
        <v>100</v>
      </c>
      <c r="B92" s="1">
        <v>45010</v>
      </c>
      <c r="C92" t="s">
        <v>1010</v>
      </c>
      <c r="D92" t="s">
        <v>1021</v>
      </c>
      <c r="E92" t="s">
        <v>1026</v>
      </c>
      <c r="F92" t="s">
        <v>1033</v>
      </c>
      <c r="G92">
        <v>8</v>
      </c>
      <c r="H92">
        <v>1401</v>
      </c>
      <c r="I92">
        <v>5</v>
      </c>
      <c r="J92" t="s">
        <v>1038</v>
      </c>
      <c r="K92">
        <v>10647.6</v>
      </c>
    </row>
    <row r="93" spans="1:11" x14ac:dyDescent="0.25">
      <c r="A93" t="s">
        <v>101</v>
      </c>
      <c r="B93" s="1">
        <v>45163</v>
      </c>
      <c r="C93" t="s">
        <v>1010</v>
      </c>
      <c r="D93" t="s">
        <v>1021</v>
      </c>
      <c r="E93" t="s">
        <v>1022</v>
      </c>
      <c r="F93" t="s">
        <v>1033</v>
      </c>
      <c r="G93">
        <v>6</v>
      </c>
      <c r="H93">
        <v>8460</v>
      </c>
      <c r="I93">
        <v>20</v>
      </c>
      <c r="J93" t="s">
        <v>1038</v>
      </c>
      <c r="K93">
        <v>40608</v>
      </c>
    </row>
    <row r="94" spans="1:11" x14ac:dyDescent="0.25">
      <c r="A94" t="s">
        <v>102</v>
      </c>
      <c r="B94" s="1">
        <v>45121</v>
      </c>
      <c r="C94" t="s">
        <v>1012</v>
      </c>
      <c r="D94" t="s">
        <v>1014</v>
      </c>
      <c r="E94" t="s">
        <v>1030</v>
      </c>
      <c r="F94" t="s">
        <v>1032</v>
      </c>
      <c r="G94">
        <v>5</v>
      </c>
      <c r="H94">
        <v>45946</v>
      </c>
      <c r="I94">
        <v>5</v>
      </c>
      <c r="J94" t="s">
        <v>1038</v>
      </c>
      <c r="K94">
        <v>218243.5</v>
      </c>
    </row>
    <row r="95" spans="1:11" x14ac:dyDescent="0.25">
      <c r="A95" t="s">
        <v>103</v>
      </c>
      <c r="B95" s="1">
        <v>45065</v>
      </c>
      <c r="C95" t="s">
        <v>1010</v>
      </c>
      <c r="D95" t="s">
        <v>1021</v>
      </c>
      <c r="E95" t="s">
        <v>1027</v>
      </c>
      <c r="F95" t="s">
        <v>1032</v>
      </c>
      <c r="G95">
        <v>6</v>
      </c>
      <c r="H95">
        <v>22842</v>
      </c>
      <c r="I95">
        <v>20</v>
      </c>
      <c r="J95" t="s">
        <v>1036</v>
      </c>
      <c r="K95">
        <v>109641.60000000001</v>
      </c>
    </row>
    <row r="96" spans="1:11" x14ac:dyDescent="0.25">
      <c r="A96" t="s">
        <v>104</v>
      </c>
      <c r="B96" s="1">
        <v>45254</v>
      </c>
      <c r="C96" t="s">
        <v>1012</v>
      </c>
      <c r="D96" t="s">
        <v>1021</v>
      </c>
      <c r="E96" t="s">
        <v>1026</v>
      </c>
      <c r="F96" t="s">
        <v>1033</v>
      </c>
      <c r="G96">
        <v>6</v>
      </c>
      <c r="H96">
        <v>23371</v>
      </c>
      <c r="I96">
        <v>20</v>
      </c>
      <c r="J96" t="s">
        <v>1037</v>
      </c>
      <c r="K96">
        <v>112180.8</v>
      </c>
    </row>
    <row r="97" spans="1:11" x14ac:dyDescent="0.25">
      <c r="A97" t="s">
        <v>105</v>
      </c>
      <c r="B97" s="1">
        <v>45279</v>
      </c>
      <c r="C97" t="s">
        <v>1010</v>
      </c>
      <c r="D97" t="s">
        <v>1014</v>
      </c>
      <c r="E97" t="s">
        <v>1030</v>
      </c>
      <c r="F97" t="s">
        <v>1034</v>
      </c>
      <c r="G97">
        <v>9</v>
      </c>
      <c r="H97">
        <v>26955</v>
      </c>
      <c r="I97">
        <v>5</v>
      </c>
      <c r="J97" t="s">
        <v>1037</v>
      </c>
      <c r="K97">
        <v>230465.25</v>
      </c>
    </row>
    <row r="98" spans="1:11" x14ac:dyDescent="0.25">
      <c r="A98" t="s">
        <v>106</v>
      </c>
      <c r="B98" s="1">
        <v>45212</v>
      </c>
      <c r="C98" t="s">
        <v>1012</v>
      </c>
      <c r="D98" t="s">
        <v>1020</v>
      </c>
      <c r="E98" t="s">
        <v>1026</v>
      </c>
      <c r="F98" t="s">
        <v>1034</v>
      </c>
      <c r="G98">
        <v>9</v>
      </c>
      <c r="H98">
        <v>48474</v>
      </c>
      <c r="I98">
        <v>0</v>
      </c>
      <c r="J98" t="s">
        <v>1037</v>
      </c>
      <c r="K98">
        <v>436266</v>
      </c>
    </row>
    <row r="99" spans="1:11" x14ac:dyDescent="0.25">
      <c r="A99" t="s">
        <v>107</v>
      </c>
      <c r="B99" s="1">
        <v>45039</v>
      </c>
      <c r="C99" t="s">
        <v>1012</v>
      </c>
      <c r="D99" t="s">
        <v>1018</v>
      </c>
      <c r="E99" t="s">
        <v>1030</v>
      </c>
      <c r="F99" t="s">
        <v>1034</v>
      </c>
      <c r="G99">
        <v>5</v>
      </c>
      <c r="H99">
        <v>38284</v>
      </c>
      <c r="I99">
        <v>15</v>
      </c>
      <c r="J99" t="s">
        <v>1035</v>
      </c>
      <c r="K99">
        <v>162707</v>
      </c>
    </row>
    <row r="100" spans="1:11" x14ac:dyDescent="0.25">
      <c r="A100" t="s">
        <v>108</v>
      </c>
      <c r="B100" s="1">
        <v>45277</v>
      </c>
      <c r="C100" t="s">
        <v>1011</v>
      </c>
      <c r="D100" t="s">
        <v>1016</v>
      </c>
      <c r="E100" t="s">
        <v>1031</v>
      </c>
      <c r="F100" t="s">
        <v>1034</v>
      </c>
      <c r="G100">
        <v>6</v>
      </c>
      <c r="H100">
        <v>41369</v>
      </c>
      <c r="I100">
        <v>20</v>
      </c>
      <c r="J100" t="s">
        <v>1035</v>
      </c>
      <c r="K100">
        <v>198571.2</v>
      </c>
    </row>
    <row r="101" spans="1:11" x14ac:dyDescent="0.25">
      <c r="A101" t="s">
        <v>109</v>
      </c>
      <c r="B101" s="1">
        <v>45093</v>
      </c>
      <c r="C101" t="s">
        <v>1013</v>
      </c>
      <c r="D101" t="s">
        <v>1017</v>
      </c>
      <c r="E101" t="s">
        <v>1031</v>
      </c>
      <c r="F101" t="s">
        <v>1033</v>
      </c>
      <c r="G101">
        <v>1</v>
      </c>
      <c r="H101">
        <v>2908</v>
      </c>
      <c r="I101">
        <v>15</v>
      </c>
      <c r="J101" t="s">
        <v>1038</v>
      </c>
      <c r="K101">
        <v>2471.8000000000002</v>
      </c>
    </row>
    <row r="102" spans="1:11" x14ac:dyDescent="0.25">
      <c r="A102" t="s">
        <v>110</v>
      </c>
      <c r="B102" s="1">
        <v>44955</v>
      </c>
      <c r="C102" t="s">
        <v>1010</v>
      </c>
      <c r="D102" t="s">
        <v>1020</v>
      </c>
      <c r="E102" t="s">
        <v>1023</v>
      </c>
      <c r="F102" t="s">
        <v>1034</v>
      </c>
      <c r="G102">
        <v>7</v>
      </c>
      <c r="H102">
        <v>12510</v>
      </c>
      <c r="I102">
        <v>5</v>
      </c>
      <c r="J102" t="s">
        <v>1038</v>
      </c>
      <c r="K102">
        <v>83191.5</v>
      </c>
    </row>
    <row r="103" spans="1:11" x14ac:dyDescent="0.25">
      <c r="A103" t="s">
        <v>111</v>
      </c>
      <c r="B103" s="1">
        <v>45044</v>
      </c>
      <c r="C103" t="s">
        <v>1013</v>
      </c>
      <c r="D103" t="s">
        <v>1015</v>
      </c>
      <c r="E103" t="s">
        <v>1024</v>
      </c>
      <c r="F103" t="s">
        <v>1034</v>
      </c>
      <c r="G103">
        <v>2</v>
      </c>
      <c r="H103">
        <v>13715</v>
      </c>
      <c r="I103">
        <v>20</v>
      </c>
      <c r="J103" t="s">
        <v>1037</v>
      </c>
      <c r="K103">
        <v>21944</v>
      </c>
    </row>
    <row r="104" spans="1:11" x14ac:dyDescent="0.25">
      <c r="A104" t="s">
        <v>112</v>
      </c>
      <c r="B104" s="1">
        <v>44943</v>
      </c>
      <c r="C104" t="s">
        <v>1013</v>
      </c>
      <c r="D104" t="s">
        <v>1014</v>
      </c>
      <c r="E104" t="s">
        <v>1026</v>
      </c>
      <c r="F104" t="s">
        <v>1033</v>
      </c>
      <c r="G104">
        <v>6</v>
      </c>
      <c r="H104">
        <v>22660</v>
      </c>
      <c r="I104">
        <v>15</v>
      </c>
      <c r="J104" t="s">
        <v>1038</v>
      </c>
      <c r="K104">
        <v>115566</v>
      </c>
    </row>
    <row r="105" spans="1:11" x14ac:dyDescent="0.25">
      <c r="A105" t="s">
        <v>113</v>
      </c>
      <c r="B105" s="1">
        <v>45088</v>
      </c>
      <c r="C105" t="s">
        <v>1011</v>
      </c>
      <c r="D105" t="s">
        <v>1015</v>
      </c>
      <c r="E105" t="s">
        <v>1028</v>
      </c>
      <c r="F105" t="s">
        <v>1034</v>
      </c>
      <c r="G105">
        <v>10</v>
      </c>
      <c r="H105">
        <v>23147</v>
      </c>
      <c r="I105">
        <v>15</v>
      </c>
      <c r="J105" t="s">
        <v>1037</v>
      </c>
      <c r="K105">
        <v>196749.5</v>
      </c>
    </row>
    <row r="106" spans="1:11" x14ac:dyDescent="0.25">
      <c r="A106" t="s">
        <v>114</v>
      </c>
      <c r="B106" s="1">
        <v>45132</v>
      </c>
      <c r="C106" t="s">
        <v>1013</v>
      </c>
      <c r="D106" t="s">
        <v>1018</v>
      </c>
      <c r="E106" t="s">
        <v>1023</v>
      </c>
      <c r="F106" t="s">
        <v>1034</v>
      </c>
      <c r="G106">
        <v>4</v>
      </c>
      <c r="H106">
        <v>45071</v>
      </c>
      <c r="I106">
        <v>10</v>
      </c>
      <c r="J106" t="s">
        <v>1039</v>
      </c>
      <c r="K106">
        <v>162255.6</v>
      </c>
    </row>
    <row r="107" spans="1:11" x14ac:dyDescent="0.25">
      <c r="A107" t="s">
        <v>115</v>
      </c>
      <c r="B107" s="1">
        <v>45064</v>
      </c>
      <c r="C107" t="s">
        <v>1013</v>
      </c>
      <c r="D107" t="s">
        <v>1017</v>
      </c>
      <c r="E107" t="s">
        <v>1022</v>
      </c>
      <c r="F107" t="s">
        <v>1034</v>
      </c>
      <c r="G107">
        <v>10</v>
      </c>
      <c r="H107">
        <v>32398</v>
      </c>
      <c r="I107">
        <v>0</v>
      </c>
      <c r="J107" t="s">
        <v>1037</v>
      </c>
      <c r="K107">
        <v>323980</v>
      </c>
    </row>
    <row r="108" spans="1:11" x14ac:dyDescent="0.25">
      <c r="A108" t="s">
        <v>116</v>
      </c>
      <c r="B108" s="1">
        <v>44960</v>
      </c>
      <c r="C108" t="s">
        <v>1010</v>
      </c>
      <c r="D108" t="s">
        <v>1017</v>
      </c>
      <c r="E108" t="s">
        <v>1031</v>
      </c>
      <c r="F108" t="s">
        <v>1034</v>
      </c>
      <c r="G108">
        <v>10</v>
      </c>
      <c r="H108">
        <v>32096</v>
      </c>
      <c r="I108">
        <v>15</v>
      </c>
      <c r="J108" t="s">
        <v>1035</v>
      </c>
      <c r="K108">
        <v>272816</v>
      </c>
    </row>
    <row r="109" spans="1:11" x14ac:dyDescent="0.25">
      <c r="A109" t="s">
        <v>117</v>
      </c>
      <c r="B109" s="1">
        <v>45035</v>
      </c>
      <c r="C109" t="s">
        <v>1012</v>
      </c>
      <c r="D109" t="s">
        <v>1021</v>
      </c>
      <c r="E109" t="s">
        <v>1025</v>
      </c>
      <c r="F109" t="s">
        <v>1032</v>
      </c>
      <c r="G109">
        <v>9</v>
      </c>
      <c r="H109">
        <v>3330</v>
      </c>
      <c r="I109">
        <v>5</v>
      </c>
      <c r="J109" t="s">
        <v>1037</v>
      </c>
      <c r="K109">
        <v>28471.5</v>
      </c>
    </row>
    <row r="110" spans="1:11" x14ac:dyDescent="0.25">
      <c r="A110" t="s">
        <v>118</v>
      </c>
      <c r="B110" s="1">
        <v>45217</v>
      </c>
      <c r="C110" t="s">
        <v>1010</v>
      </c>
      <c r="D110" t="s">
        <v>1019</v>
      </c>
      <c r="E110" t="s">
        <v>1031</v>
      </c>
      <c r="F110" t="s">
        <v>1032</v>
      </c>
      <c r="G110">
        <v>3</v>
      </c>
      <c r="H110">
        <v>43313</v>
      </c>
      <c r="I110">
        <v>5</v>
      </c>
      <c r="J110" t="s">
        <v>1038</v>
      </c>
      <c r="K110">
        <v>123442.05</v>
      </c>
    </row>
    <row r="111" spans="1:11" x14ac:dyDescent="0.25">
      <c r="A111" t="s">
        <v>119</v>
      </c>
      <c r="B111" s="1">
        <v>45088</v>
      </c>
      <c r="C111" t="s">
        <v>1010</v>
      </c>
      <c r="D111" t="s">
        <v>1016</v>
      </c>
      <c r="E111" t="s">
        <v>1025</v>
      </c>
      <c r="F111" t="s">
        <v>1032</v>
      </c>
      <c r="G111">
        <v>5</v>
      </c>
      <c r="H111">
        <v>9896</v>
      </c>
      <c r="I111">
        <v>10</v>
      </c>
      <c r="J111" t="s">
        <v>1037</v>
      </c>
      <c r="K111">
        <v>44532</v>
      </c>
    </row>
    <row r="112" spans="1:11" x14ac:dyDescent="0.25">
      <c r="A112" t="s">
        <v>120</v>
      </c>
      <c r="B112" s="1">
        <v>45035</v>
      </c>
      <c r="C112" t="s">
        <v>1013</v>
      </c>
      <c r="D112" t="s">
        <v>1019</v>
      </c>
      <c r="E112" t="s">
        <v>1026</v>
      </c>
      <c r="F112" t="s">
        <v>1034</v>
      </c>
      <c r="G112">
        <v>6</v>
      </c>
      <c r="H112">
        <v>32555</v>
      </c>
      <c r="I112">
        <v>15</v>
      </c>
      <c r="J112" t="s">
        <v>1038</v>
      </c>
      <c r="K112">
        <v>166030.5</v>
      </c>
    </row>
    <row r="113" spans="1:11" x14ac:dyDescent="0.25">
      <c r="A113" t="s">
        <v>121</v>
      </c>
      <c r="B113" s="1">
        <v>45262</v>
      </c>
      <c r="C113" t="s">
        <v>1013</v>
      </c>
      <c r="D113" t="s">
        <v>1014</v>
      </c>
      <c r="E113" t="s">
        <v>1026</v>
      </c>
      <c r="F113" t="s">
        <v>1034</v>
      </c>
      <c r="G113">
        <v>6</v>
      </c>
      <c r="H113">
        <v>11183</v>
      </c>
      <c r="I113">
        <v>20</v>
      </c>
      <c r="J113" t="s">
        <v>1037</v>
      </c>
      <c r="K113">
        <v>53678.400000000001</v>
      </c>
    </row>
    <row r="114" spans="1:11" x14ac:dyDescent="0.25">
      <c r="A114" t="s">
        <v>122</v>
      </c>
      <c r="B114" s="1">
        <v>45182</v>
      </c>
      <c r="C114" t="s">
        <v>1010</v>
      </c>
      <c r="D114" t="s">
        <v>1020</v>
      </c>
      <c r="E114" t="s">
        <v>1030</v>
      </c>
      <c r="F114" t="s">
        <v>1033</v>
      </c>
      <c r="G114">
        <v>9</v>
      </c>
      <c r="H114">
        <v>42104</v>
      </c>
      <c r="I114">
        <v>5</v>
      </c>
      <c r="J114" t="s">
        <v>1036</v>
      </c>
      <c r="K114">
        <v>359989.2</v>
      </c>
    </row>
    <row r="115" spans="1:11" x14ac:dyDescent="0.25">
      <c r="A115" t="s">
        <v>123</v>
      </c>
      <c r="B115" s="1">
        <v>45129</v>
      </c>
      <c r="C115" t="s">
        <v>1010</v>
      </c>
      <c r="D115" t="s">
        <v>1021</v>
      </c>
      <c r="E115" t="s">
        <v>1025</v>
      </c>
      <c r="F115" t="s">
        <v>1034</v>
      </c>
      <c r="G115">
        <v>8</v>
      </c>
      <c r="H115">
        <v>31187</v>
      </c>
      <c r="I115">
        <v>20</v>
      </c>
      <c r="J115" t="s">
        <v>1035</v>
      </c>
      <c r="K115">
        <v>199596.79999999999</v>
      </c>
    </row>
    <row r="116" spans="1:11" x14ac:dyDescent="0.25">
      <c r="A116" t="s">
        <v>124</v>
      </c>
      <c r="B116" s="1">
        <v>45256</v>
      </c>
      <c r="C116" t="s">
        <v>1013</v>
      </c>
      <c r="D116" t="s">
        <v>1014</v>
      </c>
      <c r="E116" t="s">
        <v>1027</v>
      </c>
      <c r="F116" t="s">
        <v>1033</v>
      </c>
      <c r="G116">
        <v>8</v>
      </c>
      <c r="H116">
        <v>36190</v>
      </c>
      <c r="I116">
        <v>5</v>
      </c>
      <c r="J116" t="s">
        <v>1035</v>
      </c>
      <c r="K116">
        <v>275044</v>
      </c>
    </row>
    <row r="117" spans="1:11" x14ac:dyDescent="0.25">
      <c r="A117" t="s">
        <v>125</v>
      </c>
      <c r="B117" s="1">
        <v>45161</v>
      </c>
      <c r="C117" t="s">
        <v>1012</v>
      </c>
      <c r="D117" t="s">
        <v>1015</v>
      </c>
      <c r="E117" t="s">
        <v>1029</v>
      </c>
      <c r="F117" t="s">
        <v>1034</v>
      </c>
      <c r="G117">
        <v>2</v>
      </c>
      <c r="H117">
        <v>22961</v>
      </c>
      <c r="I117">
        <v>20</v>
      </c>
      <c r="J117" t="s">
        <v>1037</v>
      </c>
      <c r="K117">
        <v>36737.599999999999</v>
      </c>
    </row>
    <row r="118" spans="1:11" x14ac:dyDescent="0.25">
      <c r="A118" t="s">
        <v>126</v>
      </c>
      <c r="B118" s="1">
        <v>45000</v>
      </c>
      <c r="C118" t="s">
        <v>1012</v>
      </c>
      <c r="D118" t="s">
        <v>1018</v>
      </c>
      <c r="E118" t="s">
        <v>1022</v>
      </c>
      <c r="F118" t="s">
        <v>1032</v>
      </c>
      <c r="G118">
        <v>7</v>
      </c>
      <c r="H118">
        <v>31308</v>
      </c>
      <c r="I118">
        <v>0</v>
      </c>
      <c r="J118" t="s">
        <v>1039</v>
      </c>
      <c r="K118">
        <v>219156</v>
      </c>
    </row>
    <row r="119" spans="1:11" x14ac:dyDescent="0.25">
      <c r="A119" t="s">
        <v>127</v>
      </c>
      <c r="B119" s="1">
        <v>45062</v>
      </c>
      <c r="C119" t="s">
        <v>1010</v>
      </c>
      <c r="D119" t="s">
        <v>1015</v>
      </c>
      <c r="E119" t="s">
        <v>1023</v>
      </c>
      <c r="F119" t="s">
        <v>1034</v>
      </c>
      <c r="G119">
        <v>10</v>
      </c>
      <c r="H119">
        <v>28128</v>
      </c>
      <c r="I119">
        <v>15</v>
      </c>
      <c r="J119" t="s">
        <v>1038</v>
      </c>
      <c r="K119">
        <v>239088</v>
      </c>
    </row>
    <row r="120" spans="1:11" x14ac:dyDescent="0.25">
      <c r="A120" t="s">
        <v>128</v>
      </c>
      <c r="B120" s="1">
        <v>44998</v>
      </c>
      <c r="C120" t="s">
        <v>1012</v>
      </c>
      <c r="D120" t="s">
        <v>1014</v>
      </c>
      <c r="E120" t="s">
        <v>1030</v>
      </c>
      <c r="F120" t="s">
        <v>1034</v>
      </c>
      <c r="G120">
        <v>5</v>
      </c>
      <c r="H120">
        <v>49666</v>
      </c>
      <c r="I120">
        <v>0</v>
      </c>
      <c r="J120" t="s">
        <v>1037</v>
      </c>
      <c r="K120">
        <v>248330</v>
      </c>
    </row>
    <row r="121" spans="1:11" x14ac:dyDescent="0.25">
      <c r="A121" t="s">
        <v>129</v>
      </c>
      <c r="B121" s="1">
        <v>45053</v>
      </c>
      <c r="C121" t="s">
        <v>1010</v>
      </c>
      <c r="D121" t="s">
        <v>1018</v>
      </c>
      <c r="E121" t="s">
        <v>1026</v>
      </c>
      <c r="F121" t="s">
        <v>1032</v>
      </c>
      <c r="G121">
        <v>8</v>
      </c>
      <c r="H121">
        <v>4671</v>
      </c>
      <c r="I121">
        <v>0</v>
      </c>
      <c r="J121" t="s">
        <v>1035</v>
      </c>
      <c r="K121">
        <v>37368</v>
      </c>
    </row>
    <row r="122" spans="1:11" x14ac:dyDescent="0.25">
      <c r="A122" t="s">
        <v>130</v>
      </c>
      <c r="B122" s="1">
        <v>45214</v>
      </c>
      <c r="C122" t="s">
        <v>1011</v>
      </c>
      <c r="D122" t="s">
        <v>1017</v>
      </c>
      <c r="E122" t="s">
        <v>1022</v>
      </c>
      <c r="F122" t="s">
        <v>1034</v>
      </c>
      <c r="G122">
        <v>3</v>
      </c>
      <c r="H122">
        <v>35149</v>
      </c>
      <c r="I122">
        <v>15</v>
      </c>
      <c r="J122" t="s">
        <v>1039</v>
      </c>
      <c r="K122">
        <v>89629.95</v>
      </c>
    </row>
    <row r="123" spans="1:11" x14ac:dyDescent="0.25">
      <c r="A123" t="s">
        <v>131</v>
      </c>
      <c r="B123" s="1">
        <v>45202</v>
      </c>
      <c r="C123" t="s">
        <v>1013</v>
      </c>
      <c r="D123" t="s">
        <v>1015</v>
      </c>
      <c r="E123" t="s">
        <v>1023</v>
      </c>
      <c r="F123" t="s">
        <v>1034</v>
      </c>
      <c r="G123">
        <v>3</v>
      </c>
      <c r="H123">
        <v>20617</v>
      </c>
      <c r="I123">
        <v>20</v>
      </c>
      <c r="J123" t="s">
        <v>1038</v>
      </c>
      <c r="K123">
        <v>49480.800000000003</v>
      </c>
    </row>
    <row r="124" spans="1:11" x14ac:dyDescent="0.25">
      <c r="A124" t="s">
        <v>132</v>
      </c>
      <c r="B124" s="1">
        <v>45061</v>
      </c>
      <c r="C124" t="s">
        <v>1010</v>
      </c>
      <c r="D124" t="s">
        <v>1019</v>
      </c>
      <c r="E124" t="s">
        <v>1024</v>
      </c>
      <c r="F124" t="s">
        <v>1034</v>
      </c>
      <c r="G124">
        <v>6</v>
      </c>
      <c r="H124">
        <v>38024</v>
      </c>
      <c r="I124">
        <v>0</v>
      </c>
      <c r="J124" t="s">
        <v>1036</v>
      </c>
      <c r="K124">
        <v>228144</v>
      </c>
    </row>
    <row r="125" spans="1:11" x14ac:dyDescent="0.25">
      <c r="A125" t="s">
        <v>133</v>
      </c>
      <c r="B125" s="1">
        <v>45226</v>
      </c>
      <c r="C125" t="s">
        <v>1010</v>
      </c>
      <c r="D125" t="s">
        <v>1014</v>
      </c>
      <c r="E125" t="s">
        <v>1028</v>
      </c>
      <c r="F125" t="s">
        <v>1034</v>
      </c>
      <c r="G125">
        <v>7</v>
      </c>
      <c r="H125">
        <v>48511</v>
      </c>
      <c r="I125">
        <v>15</v>
      </c>
      <c r="J125" t="s">
        <v>1036</v>
      </c>
      <c r="K125">
        <v>288640.45</v>
      </c>
    </row>
    <row r="126" spans="1:11" x14ac:dyDescent="0.25">
      <c r="A126" t="s">
        <v>134</v>
      </c>
      <c r="B126" s="1">
        <v>45146</v>
      </c>
      <c r="C126" t="s">
        <v>1010</v>
      </c>
      <c r="D126" t="s">
        <v>1014</v>
      </c>
      <c r="E126" t="s">
        <v>1029</v>
      </c>
      <c r="F126" t="s">
        <v>1033</v>
      </c>
      <c r="G126">
        <v>10</v>
      </c>
      <c r="H126">
        <v>45446</v>
      </c>
      <c r="I126">
        <v>20</v>
      </c>
      <c r="J126" t="s">
        <v>1038</v>
      </c>
      <c r="K126">
        <v>363568</v>
      </c>
    </row>
    <row r="127" spans="1:11" x14ac:dyDescent="0.25">
      <c r="A127" t="s">
        <v>135</v>
      </c>
      <c r="B127" s="1">
        <v>45225</v>
      </c>
      <c r="C127" t="s">
        <v>1012</v>
      </c>
      <c r="D127" t="s">
        <v>1019</v>
      </c>
      <c r="E127" t="s">
        <v>1025</v>
      </c>
      <c r="F127" t="s">
        <v>1034</v>
      </c>
      <c r="G127">
        <v>10</v>
      </c>
      <c r="H127">
        <v>21676</v>
      </c>
      <c r="I127">
        <v>15</v>
      </c>
      <c r="J127" t="s">
        <v>1037</v>
      </c>
      <c r="K127">
        <v>184246</v>
      </c>
    </row>
    <row r="128" spans="1:11" x14ac:dyDescent="0.25">
      <c r="A128" t="s">
        <v>136</v>
      </c>
      <c r="B128" s="1">
        <v>45131</v>
      </c>
      <c r="C128" t="s">
        <v>1010</v>
      </c>
      <c r="D128" t="s">
        <v>1020</v>
      </c>
      <c r="E128" t="s">
        <v>1025</v>
      </c>
      <c r="F128" t="s">
        <v>1032</v>
      </c>
      <c r="G128">
        <v>7</v>
      </c>
      <c r="H128">
        <v>37384</v>
      </c>
      <c r="I128">
        <v>15</v>
      </c>
      <c r="J128" t="s">
        <v>1035</v>
      </c>
      <c r="K128">
        <v>222434.8</v>
      </c>
    </row>
    <row r="129" spans="1:11" x14ac:dyDescent="0.25">
      <c r="A129" t="s">
        <v>137</v>
      </c>
      <c r="B129" s="1">
        <v>45112</v>
      </c>
      <c r="C129" t="s">
        <v>1011</v>
      </c>
      <c r="D129" t="s">
        <v>1016</v>
      </c>
      <c r="E129" t="s">
        <v>1030</v>
      </c>
      <c r="F129" t="s">
        <v>1033</v>
      </c>
      <c r="G129">
        <v>2</v>
      </c>
      <c r="H129">
        <v>36119</v>
      </c>
      <c r="I129">
        <v>0</v>
      </c>
      <c r="J129" t="s">
        <v>1038</v>
      </c>
      <c r="K129">
        <v>72238</v>
      </c>
    </row>
    <row r="130" spans="1:11" x14ac:dyDescent="0.25">
      <c r="A130" t="s">
        <v>138</v>
      </c>
      <c r="B130" s="1">
        <v>45039</v>
      </c>
      <c r="C130" t="s">
        <v>1012</v>
      </c>
      <c r="D130" t="s">
        <v>1019</v>
      </c>
      <c r="E130" t="s">
        <v>1029</v>
      </c>
      <c r="F130" t="s">
        <v>1034</v>
      </c>
      <c r="G130">
        <v>2</v>
      </c>
      <c r="H130">
        <v>2226</v>
      </c>
      <c r="I130">
        <v>15</v>
      </c>
      <c r="J130" t="s">
        <v>1037</v>
      </c>
      <c r="K130">
        <v>3784.2</v>
      </c>
    </row>
    <row r="131" spans="1:11" x14ac:dyDescent="0.25">
      <c r="A131" t="s">
        <v>139</v>
      </c>
      <c r="B131" s="1">
        <v>44997</v>
      </c>
      <c r="C131" t="s">
        <v>1013</v>
      </c>
      <c r="D131" t="s">
        <v>1017</v>
      </c>
      <c r="E131" t="s">
        <v>1024</v>
      </c>
      <c r="F131" t="s">
        <v>1033</v>
      </c>
      <c r="G131">
        <v>3</v>
      </c>
      <c r="H131">
        <v>14648</v>
      </c>
      <c r="I131">
        <v>15</v>
      </c>
      <c r="J131" t="s">
        <v>1038</v>
      </c>
      <c r="K131">
        <v>37352.400000000001</v>
      </c>
    </row>
    <row r="132" spans="1:11" x14ac:dyDescent="0.25">
      <c r="A132" t="s">
        <v>140</v>
      </c>
      <c r="B132" s="1">
        <v>45187</v>
      </c>
      <c r="C132" t="s">
        <v>1011</v>
      </c>
      <c r="D132" t="s">
        <v>1017</v>
      </c>
      <c r="E132" t="s">
        <v>1031</v>
      </c>
      <c r="F132" t="s">
        <v>1034</v>
      </c>
      <c r="G132">
        <v>6</v>
      </c>
      <c r="H132">
        <v>38840</v>
      </c>
      <c r="I132">
        <v>5</v>
      </c>
      <c r="J132" t="s">
        <v>1038</v>
      </c>
      <c r="K132">
        <v>221388</v>
      </c>
    </row>
    <row r="133" spans="1:11" x14ac:dyDescent="0.25">
      <c r="A133" t="s">
        <v>141</v>
      </c>
      <c r="B133" s="1">
        <v>45179</v>
      </c>
      <c r="C133" t="s">
        <v>1010</v>
      </c>
      <c r="D133" t="s">
        <v>1015</v>
      </c>
      <c r="E133" t="s">
        <v>1028</v>
      </c>
      <c r="F133" t="s">
        <v>1034</v>
      </c>
      <c r="G133">
        <v>4</v>
      </c>
      <c r="H133">
        <v>45924</v>
      </c>
      <c r="I133">
        <v>0</v>
      </c>
      <c r="J133" t="s">
        <v>1039</v>
      </c>
      <c r="K133">
        <v>183696</v>
      </c>
    </row>
    <row r="134" spans="1:11" x14ac:dyDescent="0.25">
      <c r="A134" t="s">
        <v>142</v>
      </c>
      <c r="B134" s="1">
        <v>44973</v>
      </c>
      <c r="C134" t="s">
        <v>1011</v>
      </c>
      <c r="D134" t="s">
        <v>1017</v>
      </c>
      <c r="E134" t="s">
        <v>1028</v>
      </c>
      <c r="F134" t="s">
        <v>1034</v>
      </c>
      <c r="G134">
        <v>6</v>
      </c>
      <c r="H134">
        <v>22739</v>
      </c>
      <c r="I134">
        <v>20</v>
      </c>
      <c r="J134" t="s">
        <v>1035</v>
      </c>
      <c r="K134">
        <v>109147.2</v>
      </c>
    </row>
    <row r="135" spans="1:11" x14ac:dyDescent="0.25">
      <c r="A135" t="s">
        <v>143</v>
      </c>
      <c r="B135" s="1">
        <v>44951</v>
      </c>
      <c r="C135" t="s">
        <v>1010</v>
      </c>
      <c r="D135" t="s">
        <v>1019</v>
      </c>
      <c r="E135" t="s">
        <v>1022</v>
      </c>
      <c r="F135" t="s">
        <v>1034</v>
      </c>
      <c r="G135">
        <v>6</v>
      </c>
      <c r="H135">
        <v>24173</v>
      </c>
      <c r="I135">
        <v>0</v>
      </c>
      <c r="J135" t="s">
        <v>1036</v>
      </c>
      <c r="K135">
        <v>145038</v>
      </c>
    </row>
    <row r="136" spans="1:11" x14ac:dyDescent="0.25">
      <c r="A136" t="s">
        <v>144</v>
      </c>
      <c r="B136" s="1">
        <v>44983</v>
      </c>
      <c r="C136" t="s">
        <v>1011</v>
      </c>
      <c r="D136" t="s">
        <v>1021</v>
      </c>
      <c r="E136" t="s">
        <v>1026</v>
      </c>
      <c r="F136" t="s">
        <v>1033</v>
      </c>
      <c r="G136">
        <v>5</v>
      </c>
      <c r="H136">
        <v>5339</v>
      </c>
      <c r="I136">
        <v>15</v>
      </c>
      <c r="J136" t="s">
        <v>1036</v>
      </c>
      <c r="K136">
        <v>22690.75</v>
      </c>
    </row>
    <row r="137" spans="1:11" x14ac:dyDescent="0.25">
      <c r="A137" t="s">
        <v>145</v>
      </c>
      <c r="B137" s="1">
        <v>45005</v>
      </c>
      <c r="C137" t="s">
        <v>1012</v>
      </c>
      <c r="D137" t="s">
        <v>1020</v>
      </c>
      <c r="E137" t="s">
        <v>1031</v>
      </c>
      <c r="F137" t="s">
        <v>1034</v>
      </c>
      <c r="G137">
        <v>5</v>
      </c>
      <c r="H137">
        <v>10784</v>
      </c>
      <c r="I137">
        <v>5</v>
      </c>
      <c r="J137" t="s">
        <v>1039</v>
      </c>
      <c r="K137">
        <v>51224</v>
      </c>
    </row>
    <row r="138" spans="1:11" x14ac:dyDescent="0.25">
      <c r="A138" t="s">
        <v>146</v>
      </c>
      <c r="B138" s="1">
        <v>45248</v>
      </c>
      <c r="C138" t="s">
        <v>1010</v>
      </c>
      <c r="D138" t="s">
        <v>1016</v>
      </c>
      <c r="E138" t="s">
        <v>1026</v>
      </c>
      <c r="F138" t="s">
        <v>1034</v>
      </c>
      <c r="G138">
        <v>10</v>
      </c>
      <c r="H138">
        <v>19380</v>
      </c>
      <c r="I138">
        <v>5</v>
      </c>
      <c r="J138" t="s">
        <v>1036</v>
      </c>
      <c r="K138">
        <v>184110</v>
      </c>
    </row>
    <row r="139" spans="1:11" x14ac:dyDescent="0.25">
      <c r="A139" t="s">
        <v>147</v>
      </c>
      <c r="B139" s="1">
        <v>45008</v>
      </c>
      <c r="C139" t="s">
        <v>1012</v>
      </c>
      <c r="D139" t="s">
        <v>1015</v>
      </c>
      <c r="E139" t="s">
        <v>1030</v>
      </c>
      <c r="F139" t="s">
        <v>1034</v>
      </c>
      <c r="G139">
        <v>7</v>
      </c>
      <c r="H139">
        <v>3042</v>
      </c>
      <c r="I139">
        <v>10</v>
      </c>
      <c r="J139" t="s">
        <v>1036</v>
      </c>
      <c r="K139">
        <v>19164.599999999999</v>
      </c>
    </row>
    <row r="140" spans="1:11" x14ac:dyDescent="0.25">
      <c r="A140" t="s">
        <v>148</v>
      </c>
      <c r="B140" s="1">
        <v>45275</v>
      </c>
      <c r="C140" t="s">
        <v>1011</v>
      </c>
      <c r="D140" t="s">
        <v>1017</v>
      </c>
      <c r="E140" t="s">
        <v>1026</v>
      </c>
      <c r="F140" t="s">
        <v>1033</v>
      </c>
      <c r="G140">
        <v>5</v>
      </c>
      <c r="H140">
        <v>23226</v>
      </c>
      <c r="I140">
        <v>10</v>
      </c>
      <c r="J140" t="s">
        <v>1035</v>
      </c>
      <c r="K140">
        <v>104517</v>
      </c>
    </row>
    <row r="141" spans="1:11" x14ac:dyDescent="0.25">
      <c r="A141" t="s">
        <v>149</v>
      </c>
      <c r="B141" s="1">
        <v>45143</v>
      </c>
      <c r="C141" t="s">
        <v>1010</v>
      </c>
      <c r="D141" t="s">
        <v>1019</v>
      </c>
      <c r="E141" t="s">
        <v>1029</v>
      </c>
      <c r="F141" t="s">
        <v>1033</v>
      </c>
      <c r="G141">
        <v>8</v>
      </c>
      <c r="H141">
        <v>25591</v>
      </c>
      <c r="I141">
        <v>5</v>
      </c>
      <c r="J141" t="s">
        <v>1037</v>
      </c>
      <c r="K141">
        <v>194491.6</v>
      </c>
    </row>
    <row r="142" spans="1:11" x14ac:dyDescent="0.25">
      <c r="A142" t="s">
        <v>150</v>
      </c>
      <c r="B142" s="1">
        <v>45232</v>
      </c>
      <c r="C142" t="s">
        <v>1013</v>
      </c>
      <c r="D142" t="s">
        <v>1015</v>
      </c>
      <c r="E142" t="s">
        <v>1029</v>
      </c>
      <c r="F142" t="s">
        <v>1032</v>
      </c>
      <c r="G142">
        <v>6</v>
      </c>
      <c r="H142">
        <v>42059</v>
      </c>
      <c r="I142">
        <v>0</v>
      </c>
      <c r="J142" t="s">
        <v>1038</v>
      </c>
      <c r="K142">
        <v>252354</v>
      </c>
    </row>
    <row r="143" spans="1:11" x14ac:dyDescent="0.25">
      <c r="A143" t="s">
        <v>151</v>
      </c>
      <c r="B143" s="1">
        <v>44959</v>
      </c>
      <c r="C143" t="s">
        <v>1013</v>
      </c>
      <c r="D143" t="s">
        <v>1014</v>
      </c>
      <c r="E143" t="s">
        <v>1022</v>
      </c>
      <c r="F143" t="s">
        <v>1034</v>
      </c>
      <c r="G143">
        <v>10</v>
      </c>
      <c r="H143">
        <v>36014</v>
      </c>
      <c r="I143">
        <v>0</v>
      </c>
      <c r="J143" t="s">
        <v>1035</v>
      </c>
      <c r="K143">
        <v>360140</v>
      </c>
    </row>
    <row r="144" spans="1:11" x14ac:dyDescent="0.25">
      <c r="A144" t="s">
        <v>152</v>
      </c>
      <c r="B144" s="1">
        <v>45124</v>
      </c>
      <c r="C144" t="s">
        <v>1010</v>
      </c>
      <c r="D144" t="s">
        <v>1016</v>
      </c>
      <c r="E144" t="s">
        <v>1030</v>
      </c>
      <c r="F144" t="s">
        <v>1032</v>
      </c>
      <c r="G144">
        <v>9</v>
      </c>
      <c r="H144">
        <v>11876</v>
      </c>
      <c r="I144">
        <v>15</v>
      </c>
      <c r="J144" t="s">
        <v>1039</v>
      </c>
      <c r="K144">
        <v>90851.4</v>
      </c>
    </row>
    <row r="145" spans="1:11" x14ac:dyDescent="0.25">
      <c r="A145" t="s">
        <v>153</v>
      </c>
      <c r="B145" s="1">
        <v>45122</v>
      </c>
      <c r="C145" t="s">
        <v>1011</v>
      </c>
      <c r="D145" t="s">
        <v>1019</v>
      </c>
      <c r="E145" t="s">
        <v>1022</v>
      </c>
      <c r="F145" t="s">
        <v>1032</v>
      </c>
      <c r="G145">
        <v>8</v>
      </c>
      <c r="H145">
        <v>38419</v>
      </c>
      <c r="I145">
        <v>10</v>
      </c>
      <c r="J145" t="s">
        <v>1039</v>
      </c>
      <c r="K145">
        <v>276616.8</v>
      </c>
    </row>
    <row r="146" spans="1:11" x14ac:dyDescent="0.25">
      <c r="A146" t="s">
        <v>154</v>
      </c>
      <c r="B146" s="1">
        <v>45232</v>
      </c>
      <c r="C146" t="s">
        <v>1013</v>
      </c>
      <c r="D146" t="s">
        <v>1021</v>
      </c>
      <c r="E146" t="s">
        <v>1024</v>
      </c>
      <c r="F146" t="s">
        <v>1033</v>
      </c>
      <c r="G146">
        <v>7</v>
      </c>
      <c r="H146">
        <v>40694</v>
      </c>
      <c r="I146">
        <v>5</v>
      </c>
      <c r="J146" t="s">
        <v>1036</v>
      </c>
      <c r="K146">
        <v>270615.09999999998</v>
      </c>
    </row>
    <row r="147" spans="1:11" x14ac:dyDescent="0.25">
      <c r="A147" t="s">
        <v>155</v>
      </c>
      <c r="B147" s="1">
        <v>45166</v>
      </c>
      <c r="C147" t="s">
        <v>1010</v>
      </c>
      <c r="D147" t="s">
        <v>1015</v>
      </c>
      <c r="E147" t="s">
        <v>1023</v>
      </c>
      <c r="F147" t="s">
        <v>1032</v>
      </c>
      <c r="G147">
        <v>3</v>
      </c>
      <c r="H147">
        <v>26530</v>
      </c>
      <c r="I147">
        <v>15</v>
      </c>
      <c r="J147" t="s">
        <v>1036</v>
      </c>
      <c r="K147">
        <v>67651.5</v>
      </c>
    </row>
    <row r="148" spans="1:11" x14ac:dyDescent="0.25">
      <c r="A148" t="s">
        <v>156</v>
      </c>
      <c r="B148" s="1">
        <v>45197</v>
      </c>
      <c r="C148" t="s">
        <v>1013</v>
      </c>
      <c r="D148" t="s">
        <v>1018</v>
      </c>
      <c r="E148" t="s">
        <v>1026</v>
      </c>
      <c r="F148" t="s">
        <v>1032</v>
      </c>
      <c r="G148">
        <v>3</v>
      </c>
      <c r="H148">
        <v>13280</v>
      </c>
      <c r="I148">
        <v>20</v>
      </c>
      <c r="J148" t="s">
        <v>1035</v>
      </c>
      <c r="K148">
        <v>31872</v>
      </c>
    </row>
    <row r="149" spans="1:11" x14ac:dyDescent="0.25">
      <c r="A149" t="s">
        <v>157</v>
      </c>
      <c r="B149" s="1">
        <v>45055</v>
      </c>
      <c r="C149" t="s">
        <v>1010</v>
      </c>
      <c r="D149" t="s">
        <v>1018</v>
      </c>
      <c r="E149" t="s">
        <v>1027</v>
      </c>
      <c r="F149" t="s">
        <v>1034</v>
      </c>
      <c r="G149">
        <v>1</v>
      </c>
      <c r="H149">
        <v>40006</v>
      </c>
      <c r="I149">
        <v>20</v>
      </c>
      <c r="J149" t="s">
        <v>1039</v>
      </c>
      <c r="K149">
        <v>32004.799999999999</v>
      </c>
    </row>
    <row r="150" spans="1:11" x14ac:dyDescent="0.25">
      <c r="A150" t="s">
        <v>158</v>
      </c>
      <c r="B150" s="1">
        <v>45210</v>
      </c>
      <c r="C150" t="s">
        <v>1011</v>
      </c>
      <c r="D150" t="s">
        <v>1016</v>
      </c>
      <c r="E150" t="s">
        <v>1027</v>
      </c>
      <c r="F150" t="s">
        <v>1032</v>
      </c>
      <c r="G150">
        <v>3</v>
      </c>
      <c r="H150">
        <v>8657</v>
      </c>
      <c r="I150">
        <v>0</v>
      </c>
      <c r="J150" t="s">
        <v>1039</v>
      </c>
      <c r="K150">
        <v>25971</v>
      </c>
    </row>
    <row r="151" spans="1:11" x14ac:dyDescent="0.25">
      <c r="A151" t="s">
        <v>159</v>
      </c>
      <c r="B151" s="1">
        <v>44932</v>
      </c>
      <c r="C151" t="s">
        <v>1011</v>
      </c>
      <c r="D151" t="s">
        <v>1020</v>
      </c>
      <c r="E151" t="s">
        <v>1025</v>
      </c>
      <c r="F151" t="s">
        <v>1032</v>
      </c>
      <c r="G151">
        <v>4</v>
      </c>
      <c r="H151">
        <v>21203</v>
      </c>
      <c r="I151">
        <v>15</v>
      </c>
      <c r="J151" t="s">
        <v>1038</v>
      </c>
      <c r="K151">
        <v>72090.2</v>
      </c>
    </row>
    <row r="152" spans="1:11" x14ac:dyDescent="0.25">
      <c r="A152" t="s">
        <v>160</v>
      </c>
      <c r="B152" s="1">
        <v>45275</v>
      </c>
      <c r="C152" t="s">
        <v>1012</v>
      </c>
      <c r="D152" t="s">
        <v>1018</v>
      </c>
      <c r="E152" t="s">
        <v>1026</v>
      </c>
      <c r="F152" t="s">
        <v>1033</v>
      </c>
      <c r="G152">
        <v>5</v>
      </c>
      <c r="H152">
        <v>47220</v>
      </c>
      <c r="I152">
        <v>15</v>
      </c>
      <c r="J152" t="s">
        <v>1035</v>
      </c>
      <c r="K152">
        <v>200685</v>
      </c>
    </row>
    <row r="153" spans="1:11" x14ac:dyDescent="0.25">
      <c r="A153" t="s">
        <v>161</v>
      </c>
      <c r="B153" s="1">
        <v>44985</v>
      </c>
      <c r="C153" t="s">
        <v>1013</v>
      </c>
      <c r="D153" t="s">
        <v>1020</v>
      </c>
      <c r="E153" t="s">
        <v>1029</v>
      </c>
      <c r="F153" t="s">
        <v>1032</v>
      </c>
      <c r="G153">
        <v>2</v>
      </c>
      <c r="H153">
        <v>21611</v>
      </c>
      <c r="I153">
        <v>5</v>
      </c>
      <c r="J153" t="s">
        <v>1038</v>
      </c>
      <c r="K153">
        <v>41060.9</v>
      </c>
    </row>
    <row r="154" spans="1:11" x14ac:dyDescent="0.25">
      <c r="A154" t="s">
        <v>162</v>
      </c>
      <c r="B154" s="1">
        <v>45276</v>
      </c>
      <c r="C154" t="s">
        <v>1012</v>
      </c>
      <c r="D154" t="s">
        <v>1015</v>
      </c>
      <c r="E154" t="s">
        <v>1026</v>
      </c>
      <c r="F154" t="s">
        <v>1033</v>
      </c>
      <c r="G154">
        <v>4</v>
      </c>
      <c r="H154">
        <v>47520</v>
      </c>
      <c r="I154">
        <v>15</v>
      </c>
      <c r="J154" t="s">
        <v>1035</v>
      </c>
      <c r="K154">
        <v>161568</v>
      </c>
    </row>
    <row r="155" spans="1:11" x14ac:dyDescent="0.25">
      <c r="A155" t="s">
        <v>163</v>
      </c>
      <c r="B155" s="1">
        <v>45201</v>
      </c>
      <c r="C155" t="s">
        <v>1011</v>
      </c>
      <c r="D155" t="s">
        <v>1015</v>
      </c>
      <c r="E155" t="s">
        <v>1022</v>
      </c>
      <c r="F155" t="s">
        <v>1034</v>
      </c>
      <c r="G155">
        <v>3</v>
      </c>
      <c r="H155">
        <v>3072</v>
      </c>
      <c r="I155">
        <v>5</v>
      </c>
      <c r="J155" t="s">
        <v>1037</v>
      </c>
      <c r="K155">
        <v>8755.1999999999989</v>
      </c>
    </row>
    <row r="156" spans="1:11" x14ac:dyDescent="0.25">
      <c r="A156" t="s">
        <v>164</v>
      </c>
      <c r="B156" s="1">
        <v>45063</v>
      </c>
      <c r="C156" t="s">
        <v>1010</v>
      </c>
      <c r="D156" t="s">
        <v>1017</v>
      </c>
      <c r="E156" t="s">
        <v>1031</v>
      </c>
      <c r="F156" t="s">
        <v>1033</v>
      </c>
      <c r="G156">
        <v>7</v>
      </c>
      <c r="H156">
        <v>18792</v>
      </c>
      <c r="I156">
        <v>10</v>
      </c>
      <c r="J156" t="s">
        <v>1039</v>
      </c>
      <c r="K156">
        <v>118389.6</v>
      </c>
    </row>
    <row r="157" spans="1:11" x14ac:dyDescent="0.25">
      <c r="A157" t="s">
        <v>165</v>
      </c>
      <c r="B157" s="1">
        <v>45255</v>
      </c>
      <c r="C157" t="s">
        <v>1011</v>
      </c>
      <c r="D157" t="s">
        <v>1016</v>
      </c>
      <c r="E157" t="s">
        <v>1030</v>
      </c>
      <c r="F157" t="s">
        <v>1032</v>
      </c>
      <c r="G157">
        <v>2</v>
      </c>
      <c r="H157">
        <v>28123</v>
      </c>
      <c r="I157">
        <v>15</v>
      </c>
      <c r="J157" t="s">
        <v>1036</v>
      </c>
      <c r="K157">
        <v>47809.1</v>
      </c>
    </row>
    <row r="158" spans="1:11" x14ac:dyDescent="0.25">
      <c r="A158" t="s">
        <v>166</v>
      </c>
      <c r="B158" s="1">
        <v>45101</v>
      </c>
      <c r="C158" t="s">
        <v>1011</v>
      </c>
      <c r="D158" t="s">
        <v>1021</v>
      </c>
      <c r="E158" t="s">
        <v>1026</v>
      </c>
      <c r="F158" t="s">
        <v>1032</v>
      </c>
      <c r="G158">
        <v>2</v>
      </c>
      <c r="H158">
        <v>6688</v>
      </c>
      <c r="I158">
        <v>0</v>
      </c>
      <c r="J158" t="s">
        <v>1039</v>
      </c>
      <c r="K158">
        <v>13376</v>
      </c>
    </row>
    <row r="159" spans="1:11" x14ac:dyDescent="0.25">
      <c r="A159" t="s">
        <v>167</v>
      </c>
      <c r="B159" s="1">
        <v>44984</v>
      </c>
      <c r="C159" t="s">
        <v>1010</v>
      </c>
      <c r="D159" t="s">
        <v>1014</v>
      </c>
      <c r="E159" t="s">
        <v>1023</v>
      </c>
      <c r="F159" t="s">
        <v>1034</v>
      </c>
      <c r="G159">
        <v>2</v>
      </c>
      <c r="H159">
        <v>33574</v>
      </c>
      <c r="I159">
        <v>0</v>
      </c>
      <c r="J159" t="s">
        <v>1037</v>
      </c>
      <c r="K159">
        <v>67148</v>
      </c>
    </row>
    <row r="160" spans="1:11" x14ac:dyDescent="0.25">
      <c r="A160" t="s">
        <v>168</v>
      </c>
      <c r="B160" s="1">
        <v>45077</v>
      </c>
      <c r="C160" t="s">
        <v>1012</v>
      </c>
      <c r="D160" t="s">
        <v>1019</v>
      </c>
      <c r="E160" t="s">
        <v>1026</v>
      </c>
      <c r="F160" t="s">
        <v>1033</v>
      </c>
      <c r="G160">
        <v>8</v>
      </c>
      <c r="H160">
        <v>16574</v>
      </c>
      <c r="I160">
        <v>15</v>
      </c>
      <c r="J160" t="s">
        <v>1035</v>
      </c>
      <c r="K160">
        <v>112703.2</v>
      </c>
    </row>
    <row r="161" spans="1:11" x14ac:dyDescent="0.25">
      <c r="A161" t="s">
        <v>169</v>
      </c>
      <c r="B161" s="1">
        <v>45149</v>
      </c>
      <c r="C161" t="s">
        <v>1013</v>
      </c>
      <c r="D161" t="s">
        <v>1018</v>
      </c>
      <c r="E161" t="s">
        <v>1029</v>
      </c>
      <c r="F161" t="s">
        <v>1032</v>
      </c>
      <c r="G161">
        <v>9</v>
      </c>
      <c r="H161">
        <v>25352</v>
      </c>
      <c r="I161">
        <v>10</v>
      </c>
      <c r="J161" t="s">
        <v>1037</v>
      </c>
      <c r="K161">
        <v>205351.2</v>
      </c>
    </row>
    <row r="162" spans="1:11" x14ac:dyDescent="0.25">
      <c r="A162" t="s">
        <v>170</v>
      </c>
      <c r="B162" s="1">
        <v>45007</v>
      </c>
      <c r="C162" t="s">
        <v>1011</v>
      </c>
      <c r="D162" t="s">
        <v>1021</v>
      </c>
      <c r="E162" t="s">
        <v>1031</v>
      </c>
      <c r="F162" t="s">
        <v>1034</v>
      </c>
      <c r="G162">
        <v>1</v>
      </c>
      <c r="H162">
        <v>30616</v>
      </c>
      <c r="I162">
        <v>20</v>
      </c>
      <c r="J162" t="s">
        <v>1039</v>
      </c>
      <c r="K162">
        <v>24492.799999999999</v>
      </c>
    </row>
    <row r="163" spans="1:11" x14ac:dyDescent="0.25">
      <c r="A163" t="s">
        <v>171</v>
      </c>
      <c r="B163" s="1">
        <v>45159</v>
      </c>
      <c r="C163" t="s">
        <v>1011</v>
      </c>
      <c r="D163" t="s">
        <v>1017</v>
      </c>
      <c r="E163" t="s">
        <v>1029</v>
      </c>
      <c r="F163" t="s">
        <v>1032</v>
      </c>
      <c r="G163">
        <v>1</v>
      </c>
      <c r="H163">
        <v>20833</v>
      </c>
      <c r="I163">
        <v>0</v>
      </c>
      <c r="J163" t="s">
        <v>1038</v>
      </c>
      <c r="K163">
        <v>20833</v>
      </c>
    </row>
    <row r="164" spans="1:11" x14ac:dyDescent="0.25">
      <c r="A164" t="s">
        <v>172</v>
      </c>
      <c r="B164" s="1">
        <v>44928</v>
      </c>
      <c r="C164" t="s">
        <v>1013</v>
      </c>
      <c r="D164" t="s">
        <v>1019</v>
      </c>
      <c r="E164" t="s">
        <v>1030</v>
      </c>
      <c r="F164" t="s">
        <v>1033</v>
      </c>
      <c r="G164">
        <v>7</v>
      </c>
      <c r="H164">
        <v>15164</v>
      </c>
      <c r="I164">
        <v>10</v>
      </c>
      <c r="J164" t="s">
        <v>1035</v>
      </c>
      <c r="K164">
        <v>95533.2</v>
      </c>
    </row>
    <row r="165" spans="1:11" x14ac:dyDescent="0.25">
      <c r="A165" t="s">
        <v>173</v>
      </c>
      <c r="B165" s="1">
        <v>45061</v>
      </c>
      <c r="C165" t="s">
        <v>1011</v>
      </c>
      <c r="D165" t="s">
        <v>1016</v>
      </c>
      <c r="E165" t="s">
        <v>1027</v>
      </c>
      <c r="F165" t="s">
        <v>1033</v>
      </c>
      <c r="G165">
        <v>9</v>
      </c>
      <c r="H165">
        <v>35412</v>
      </c>
      <c r="I165">
        <v>15</v>
      </c>
      <c r="J165" t="s">
        <v>1038</v>
      </c>
      <c r="K165">
        <v>270901.8</v>
      </c>
    </row>
    <row r="166" spans="1:11" x14ac:dyDescent="0.25">
      <c r="A166" t="s">
        <v>174</v>
      </c>
      <c r="B166" s="1">
        <v>45183</v>
      </c>
      <c r="C166" t="s">
        <v>1013</v>
      </c>
      <c r="D166" t="s">
        <v>1019</v>
      </c>
      <c r="E166" t="s">
        <v>1024</v>
      </c>
      <c r="F166" t="s">
        <v>1032</v>
      </c>
      <c r="G166">
        <v>2</v>
      </c>
      <c r="H166">
        <v>20812</v>
      </c>
      <c r="I166">
        <v>10</v>
      </c>
      <c r="J166" t="s">
        <v>1037</v>
      </c>
      <c r="K166">
        <v>37461.599999999999</v>
      </c>
    </row>
    <row r="167" spans="1:11" x14ac:dyDescent="0.25">
      <c r="A167" t="s">
        <v>175</v>
      </c>
      <c r="B167" s="1">
        <v>45018</v>
      </c>
      <c r="C167" t="s">
        <v>1013</v>
      </c>
      <c r="D167" t="s">
        <v>1014</v>
      </c>
      <c r="E167" t="s">
        <v>1024</v>
      </c>
      <c r="F167" t="s">
        <v>1034</v>
      </c>
      <c r="G167">
        <v>2</v>
      </c>
      <c r="H167">
        <v>12469</v>
      </c>
      <c r="I167">
        <v>20</v>
      </c>
      <c r="J167" t="s">
        <v>1036</v>
      </c>
      <c r="K167">
        <v>19950.400000000001</v>
      </c>
    </row>
    <row r="168" spans="1:11" x14ac:dyDescent="0.25">
      <c r="A168" t="s">
        <v>176</v>
      </c>
      <c r="B168" s="1">
        <v>45186</v>
      </c>
      <c r="C168" t="s">
        <v>1013</v>
      </c>
      <c r="D168" t="s">
        <v>1019</v>
      </c>
      <c r="E168" t="s">
        <v>1031</v>
      </c>
      <c r="F168" t="s">
        <v>1034</v>
      </c>
      <c r="G168">
        <v>5</v>
      </c>
      <c r="H168">
        <v>8355</v>
      </c>
      <c r="I168">
        <v>20</v>
      </c>
      <c r="J168" t="s">
        <v>1035</v>
      </c>
      <c r="K168">
        <v>33420</v>
      </c>
    </row>
    <row r="169" spans="1:11" x14ac:dyDescent="0.25">
      <c r="A169" t="s">
        <v>177</v>
      </c>
      <c r="B169" s="1">
        <v>44981</v>
      </c>
      <c r="C169" t="s">
        <v>1010</v>
      </c>
      <c r="D169" t="s">
        <v>1016</v>
      </c>
      <c r="E169" t="s">
        <v>1029</v>
      </c>
      <c r="F169" t="s">
        <v>1034</v>
      </c>
      <c r="G169">
        <v>10</v>
      </c>
      <c r="H169">
        <v>25524</v>
      </c>
      <c r="I169">
        <v>20</v>
      </c>
      <c r="J169" t="s">
        <v>1039</v>
      </c>
      <c r="K169">
        <v>204192</v>
      </c>
    </row>
    <row r="170" spans="1:11" x14ac:dyDescent="0.25">
      <c r="A170" t="s">
        <v>178</v>
      </c>
      <c r="B170" s="1">
        <v>45247</v>
      </c>
      <c r="C170" t="s">
        <v>1012</v>
      </c>
      <c r="D170" t="s">
        <v>1021</v>
      </c>
      <c r="E170" t="s">
        <v>1024</v>
      </c>
      <c r="F170" t="s">
        <v>1034</v>
      </c>
      <c r="G170">
        <v>3</v>
      </c>
      <c r="H170">
        <v>3450</v>
      </c>
      <c r="I170">
        <v>5</v>
      </c>
      <c r="J170" t="s">
        <v>1038</v>
      </c>
      <c r="K170">
        <v>9832.5</v>
      </c>
    </row>
    <row r="171" spans="1:11" x14ac:dyDescent="0.25">
      <c r="A171" t="s">
        <v>179</v>
      </c>
      <c r="B171" s="1">
        <v>45079</v>
      </c>
      <c r="C171" t="s">
        <v>1012</v>
      </c>
      <c r="D171" t="s">
        <v>1014</v>
      </c>
      <c r="E171" t="s">
        <v>1024</v>
      </c>
      <c r="F171" t="s">
        <v>1032</v>
      </c>
      <c r="G171">
        <v>2</v>
      </c>
      <c r="H171">
        <v>14244</v>
      </c>
      <c r="I171">
        <v>0</v>
      </c>
      <c r="J171" t="s">
        <v>1037</v>
      </c>
      <c r="K171">
        <v>28488</v>
      </c>
    </row>
    <row r="172" spans="1:11" x14ac:dyDescent="0.25">
      <c r="A172" t="s">
        <v>180</v>
      </c>
      <c r="B172" s="1">
        <v>45254</v>
      </c>
      <c r="C172" t="s">
        <v>1010</v>
      </c>
      <c r="D172" t="s">
        <v>1020</v>
      </c>
      <c r="E172" t="s">
        <v>1030</v>
      </c>
      <c r="F172" t="s">
        <v>1034</v>
      </c>
      <c r="G172">
        <v>7</v>
      </c>
      <c r="H172">
        <v>7068</v>
      </c>
      <c r="I172">
        <v>20</v>
      </c>
      <c r="J172" t="s">
        <v>1035</v>
      </c>
      <c r="K172">
        <v>39580.800000000003</v>
      </c>
    </row>
    <row r="173" spans="1:11" x14ac:dyDescent="0.25">
      <c r="A173" t="s">
        <v>181</v>
      </c>
      <c r="B173" s="1">
        <v>45186</v>
      </c>
      <c r="C173" t="s">
        <v>1012</v>
      </c>
      <c r="D173" t="s">
        <v>1017</v>
      </c>
      <c r="E173" t="s">
        <v>1023</v>
      </c>
      <c r="F173" t="s">
        <v>1034</v>
      </c>
      <c r="G173">
        <v>5</v>
      </c>
      <c r="H173">
        <v>30083</v>
      </c>
      <c r="I173">
        <v>10</v>
      </c>
      <c r="J173" t="s">
        <v>1036</v>
      </c>
      <c r="K173">
        <v>135373.5</v>
      </c>
    </row>
    <row r="174" spans="1:11" x14ac:dyDescent="0.25">
      <c r="A174" t="s">
        <v>182</v>
      </c>
      <c r="B174" s="1">
        <v>45238</v>
      </c>
      <c r="C174" t="s">
        <v>1012</v>
      </c>
      <c r="D174" t="s">
        <v>1019</v>
      </c>
      <c r="E174" t="s">
        <v>1022</v>
      </c>
      <c r="F174" t="s">
        <v>1034</v>
      </c>
      <c r="G174">
        <v>4</v>
      </c>
      <c r="H174">
        <v>34160</v>
      </c>
      <c r="I174">
        <v>0</v>
      </c>
      <c r="J174" t="s">
        <v>1035</v>
      </c>
      <c r="K174">
        <v>136640</v>
      </c>
    </row>
    <row r="175" spans="1:11" x14ac:dyDescent="0.25">
      <c r="A175" t="s">
        <v>183</v>
      </c>
      <c r="B175" s="1">
        <v>45028</v>
      </c>
      <c r="C175" t="s">
        <v>1012</v>
      </c>
      <c r="D175" t="s">
        <v>1015</v>
      </c>
      <c r="E175" t="s">
        <v>1030</v>
      </c>
      <c r="F175" t="s">
        <v>1033</v>
      </c>
      <c r="G175">
        <v>4</v>
      </c>
      <c r="H175">
        <v>2634</v>
      </c>
      <c r="I175">
        <v>20</v>
      </c>
      <c r="J175" t="s">
        <v>1036</v>
      </c>
      <c r="K175">
        <v>8428.8000000000011</v>
      </c>
    </row>
    <row r="176" spans="1:11" x14ac:dyDescent="0.25">
      <c r="A176" t="s">
        <v>184</v>
      </c>
      <c r="B176" s="1">
        <v>45005</v>
      </c>
      <c r="C176" t="s">
        <v>1011</v>
      </c>
      <c r="D176" t="s">
        <v>1018</v>
      </c>
      <c r="E176" t="s">
        <v>1025</v>
      </c>
      <c r="F176" t="s">
        <v>1032</v>
      </c>
      <c r="G176">
        <v>5</v>
      </c>
      <c r="H176">
        <v>32631</v>
      </c>
      <c r="I176">
        <v>10</v>
      </c>
      <c r="J176" t="s">
        <v>1037</v>
      </c>
      <c r="K176">
        <v>146839.5</v>
      </c>
    </row>
    <row r="177" spans="1:11" x14ac:dyDescent="0.25">
      <c r="A177" t="s">
        <v>185</v>
      </c>
      <c r="B177" s="1">
        <v>45118</v>
      </c>
      <c r="C177" t="s">
        <v>1010</v>
      </c>
      <c r="D177" t="s">
        <v>1019</v>
      </c>
      <c r="E177" t="s">
        <v>1025</v>
      </c>
      <c r="F177" t="s">
        <v>1034</v>
      </c>
      <c r="G177">
        <v>8</v>
      </c>
      <c r="H177">
        <v>33771</v>
      </c>
      <c r="I177">
        <v>0</v>
      </c>
      <c r="J177" t="s">
        <v>1038</v>
      </c>
      <c r="K177">
        <v>270168</v>
      </c>
    </row>
    <row r="178" spans="1:11" x14ac:dyDescent="0.25">
      <c r="A178" t="s">
        <v>186</v>
      </c>
      <c r="B178" s="1">
        <v>45009</v>
      </c>
      <c r="C178" t="s">
        <v>1012</v>
      </c>
      <c r="D178" t="s">
        <v>1020</v>
      </c>
      <c r="E178" t="s">
        <v>1031</v>
      </c>
      <c r="F178" t="s">
        <v>1034</v>
      </c>
      <c r="G178">
        <v>3</v>
      </c>
      <c r="H178">
        <v>11097</v>
      </c>
      <c r="I178">
        <v>0</v>
      </c>
      <c r="J178" t="s">
        <v>1035</v>
      </c>
      <c r="K178">
        <v>33291</v>
      </c>
    </row>
    <row r="179" spans="1:11" x14ac:dyDescent="0.25">
      <c r="A179" t="s">
        <v>187</v>
      </c>
      <c r="B179" s="1">
        <v>45203</v>
      </c>
      <c r="C179" t="s">
        <v>1010</v>
      </c>
      <c r="D179" t="s">
        <v>1019</v>
      </c>
      <c r="E179" t="s">
        <v>1030</v>
      </c>
      <c r="F179" t="s">
        <v>1033</v>
      </c>
      <c r="G179">
        <v>3</v>
      </c>
      <c r="H179">
        <v>13465</v>
      </c>
      <c r="I179">
        <v>15</v>
      </c>
      <c r="J179" t="s">
        <v>1035</v>
      </c>
      <c r="K179">
        <v>34335.75</v>
      </c>
    </row>
    <row r="180" spans="1:11" x14ac:dyDescent="0.25">
      <c r="A180" t="s">
        <v>188</v>
      </c>
      <c r="B180" s="1">
        <v>45198</v>
      </c>
      <c r="C180" t="s">
        <v>1012</v>
      </c>
      <c r="D180" t="s">
        <v>1016</v>
      </c>
      <c r="E180" t="s">
        <v>1029</v>
      </c>
      <c r="F180" t="s">
        <v>1034</v>
      </c>
      <c r="G180">
        <v>9</v>
      </c>
      <c r="H180">
        <v>23289</v>
      </c>
      <c r="I180">
        <v>10</v>
      </c>
      <c r="J180" t="s">
        <v>1038</v>
      </c>
      <c r="K180">
        <v>188640.9</v>
      </c>
    </row>
    <row r="181" spans="1:11" x14ac:dyDescent="0.25">
      <c r="A181" t="s">
        <v>189</v>
      </c>
      <c r="B181" s="1">
        <v>44927</v>
      </c>
      <c r="C181" t="s">
        <v>1012</v>
      </c>
      <c r="D181" t="s">
        <v>1021</v>
      </c>
      <c r="E181" t="s">
        <v>1027</v>
      </c>
      <c r="F181" t="s">
        <v>1034</v>
      </c>
      <c r="G181">
        <v>3</v>
      </c>
      <c r="H181">
        <v>32684</v>
      </c>
      <c r="I181">
        <v>15</v>
      </c>
      <c r="J181" t="s">
        <v>1035</v>
      </c>
      <c r="K181">
        <v>83344.2</v>
      </c>
    </row>
    <row r="182" spans="1:11" x14ac:dyDescent="0.25">
      <c r="A182" t="s">
        <v>190</v>
      </c>
      <c r="B182" s="1">
        <v>45233</v>
      </c>
      <c r="C182" t="s">
        <v>1010</v>
      </c>
      <c r="D182" t="s">
        <v>1021</v>
      </c>
      <c r="E182" t="s">
        <v>1027</v>
      </c>
      <c r="F182" t="s">
        <v>1032</v>
      </c>
      <c r="G182">
        <v>1</v>
      </c>
      <c r="H182">
        <v>49001</v>
      </c>
      <c r="I182">
        <v>20</v>
      </c>
      <c r="J182" t="s">
        <v>1035</v>
      </c>
      <c r="K182">
        <v>39200.800000000003</v>
      </c>
    </row>
    <row r="183" spans="1:11" x14ac:dyDescent="0.25">
      <c r="A183" t="s">
        <v>191</v>
      </c>
      <c r="B183" s="1">
        <v>45092</v>
      </c>
      <c r="C183" t="s">
        <v>1013</v>
      </c>
      <c r="D183" t="s">
        <v>1015</v>
      </c>
      <c r="E183" t="s">
        <v>1027</v>
      </c>
      <c r="F183" t="s">
        <v>1033</v>
      </c>
      <c r="G183">
        <v>1</v>
      </c>
      <c r="H183">
        <v>35316</v>
      </c>
      <c r="I183">
        <v>0</v>
      </c>
      <c r="J183" t="s">
        <v>1039</v>
      </c>
      <c r="K183">
        <v>35316</v>
      </c>
    </row>
    <row r="184" spans="1:11" x14ac:dyDescent="0.25">
      <c r="A184" t="s">
        <v>192</v>
      </c>
      <c r="B184" s="1">
        <v>45177</v>
      </c>
      <c r="C184" t="s">
        <v>1010</v>
      </c>
      <c r="D184" t="s">
        <v>1017</v>
      </c>
      <c r="E184" t="s">
        <v>1022</v>
      </c>
      <c r="F184" t="s">
        <v>1033</v>
      </c>
      <c r="G184">
        <v>6</v>
      </c>
      <c r="H184">
        <v>21339</v>
      </c>
      <c r="I184">
        <v>10</v>
      </c>
      <c r="J184" t="s">
        <v>1035</v>
      </c>
      <c r="K184">
        <v>115230.6</v>
      </c>
    </row>
    <row r="185" spans="1:11" x14ac:dyDescent="0.25">
      <c r="A185" t="s">
        <v>193</v>
      </c>
      <c r="B185" s="1">
        <v>44936</v>
      </c>
      <c r="C185" t="s">
        <v>1013</v>
      </c>
      <c r="D185" t="s">
        <v>1015</v>
      </c>
      <c r="E185" t="s">
        <v>1025</v>
      </c>
      <c r="F185" t="s">
        <v>1033</v>
      </c>
      <c r="G185">
        <v>6</v>
      </c>
      <c r="H185">
        <v>22452</v>
      </c>
      <c r="I185">
        <v>10</v>
      </c>
      <c r="J185" t="s">
        <v>1039</v>
      </c>
      <c r="K185">
        <v>121240.8</v>
      </c>
    </row>
    <row r="186" spans="1:11" x14ac:dyDescent="0.25">
      <c r="A186" t="s">
        <v>194</v>
      </c>
      <c r="B186" s="1">
        <v>44984</v>
      </c>
      <c r="C186" t="s">
        <v>1011</v>
      </c>
      <c r="D186" t="s">
        <v>1017</v>
      </c>
      <c r="E186" t="s">
        <v>1031</v>
      </c>
      <c r="F186" t="s">
        <v>1034</v>
      </c>
      <c r="G186">
        <v>8</v>
      </c>
      <c r="H186">
        <v>10390</v>
      </c>
      <c r="I186">
        <v>5</v>
      </c>
      <c r="J186" t="s">
        <v>1035</v>
      </c>
      <c r="K186">
        <v>78964</v>
      </c>
    </row>
    <row r="187" spans="1:11" x14ac:dyDescent="0.25">
      <c r="A187" t="s">
        <v>195</v>
      </c>
      <c r="B187" s="1">
        <v>45112</v>
      </c>
      <c r="C187" t="s">
        <v>1010</v>
      </c>
      <c r="D187" t="s">
        <v>1016</v>
      </c>
      <c r="E187" t="s">
        <v>1024</v>
      </c>
      <c r="F187" t="s">
        <v>1033</v>
      </c>
      <c r="G187">
        <v>8</v>
      </c>
      <c r="H187">
        <v>7439</v>
      </c>
      <c r="I187">
        <v>20</v>
      </c>
      <c r="J187" t="s">
        <v>1038</v>
      </c>
      <c r="K187">
        <v>47609.600000000013</v>
      </c>
    </row>
    <row r="188" spans="1:11" x14ac:dyDescent="0.25">
      <c r="A188" t="s">
        <v>196</v>
      </c>
      <c r="B188" s="1">
        <v>45084</v>
      </c>
      <c r="C188" t="s">
        <v>1013</v>
      </c>
      <c r="D188" t="s">
        <v>1018</v>
      </c>
      <c r="E188" t="s">
        <v>1028</v>
      </c>
      <c r="F188" t="s">
        <v>1034</v>
      </c>
      <c r="G188">
        <v>9</v>
      </c>
      <c r="H188">
        <v>34826</v>
      </c>
      <c r="I188">
        <v>0</v>
      </c>
      <c r="J188" t="s">
        <v>1037</v>
      </c>
      <c r="K188">
        <v>313434</v>
      </c>
    </row>
    <row r="189" spans="1:11" x14ac:dyDescent="0.25">
      <c r="A189" t="s">
        <v>197</v>
      </c>
      <c r="B189" s="1">
        <v>45049</v>
      </c>
      <c r="C189" t="s">
        <v>1012</v>
      </c>
      <c r="D189" t="s">
        <v>1017</v>
      </c>
      <c r="E189" t="s">
        <v>1031</v>
      </c>
      <c r="F189" t="s">
        <v>1032</v>
      </c>
      <c r="G189">
        <v>5</v>
      </c>
      <c r="H189">
        <v>45349</v>
      </c>
      <c r="I189">
        <v>20</v>
      </c>
      <c r="J189" t="s">
        <v>1035</v>
      </c>
      <c r="K189">
        <v>181396</v>
      </c>
    </row>
    <row r="190" spans="1:11" x14ac:dyDescent="0.25">
      <c r="A190" t="s">
        <v>198</v>
      </c>
      <c r="B190" s="1">
        <v>44956</v>
      </c>
      <c r="C190" t="s">
        <v>1011</v>
      </c>
      <c r="D190" t="s">
        <v>1021</v>
      </c>
      <c r="E190" t="s">
        <v>1029</v>
      </c>
      <c r="F190" t="s">
        <v>1032</v>
      </c>
      <c r="G190">
        <v>9</v>
      </c>
      <c r="H190">
        <v>9697</v>
      </c>
      <c r="I190">
        <v>5</v>
      </c>
      <c r="J190" t="s">
        <v>1038</v>
      </c>
      <c r="K190">
        <v>82909.349999999991</v>
      </c>
    </row>
    <row r="191" spans="1:11" x14ac:dyDescent="0.25">
      <c r="A191" t="s">
        <v>199</v>
      </c>
      <c r="B191" s="1">
        <v>45050</v>
      </c>
      <c r="C191" t="s">
        <v>1010</v>
      </c>
      <c r="D191" t="s">
        <v>1021</v>
      </c>
      <c r="E191" t="s">
        <v>1026</v>
      </c>
      <c r="F191" t="s">
        <v>1034</v>
      </c>
      <c r="G191">
        <v>8</v>
      </c>
      <c r="H191">
        <v>14447</v>
      </c>
      <c r="I191">
        <v>5</v>
      </c>
      <c r="J191" t="s">
        <v>1037</v>
      </c>
      <c r="K191">
        <v>109797.2</v>
      </c>
    </row>
    <row r="192" spans="1:11" x14ac:dyDescent="0.25">
      <c r="A192" t="s">
        <v>200</v>
      </c>
      <c r="B192" s="1">
        <v>45217</v>
      </c>
      <c r="C192" t="s">
        <v>1013</v>
      </c>
      <c r="D192" t="s">
        <v>1020</v>
      </c>
      <c r="E192" t="s">
        <v>1025</v>
      </c>
      <c r="F192" t="s">
        <v>1033</v>
      </c>
      <c r="G192">
        <v>3</v>
      </c>
      <c r="H192">
        <v>48485</v>
      </c>
      <c r="I192">
        <v>10</v>
      </c>
      <c r="J192" t="s">
        <v>1039</v>
      </c>
      <c r="K192">
        <v>130909.5</v>
      </c>
    </row>
    <row r="193" spans="1:11" x14ac:dyDescent="0.25">
      <c r="A193" t="s">
        <v>201</v>
      </c>
      <c r="B193" s="1">
        <v>44967</v>
      </c>
      <c r="C193" t="s">
        <v>1013</v>
      </c>
      <c r="D193" t="s">
        <v>1017</v>
      </c>
      <c r="E193" t="s">
        <v>1024</v>
      </c>
      <c r="F193" t="s">
        <v>1032</v>
      </c>
      <c r="G193">
        <v>9</v>
      </c>
      <c r="H193">
        <v>3395</v>
      </c>
      <c r="I193">
        <v>5</v>
      </c>
      <c r="J193" t="s">
        <v>1038</v>
      </c>
      <c r="K193">
        <v>29027.25</v>
      </c>
    </row>
    <row r="194" spans="1:11" x14ac:dyDescent="0.25">
      <c r="A194" t="s">
        <v>202</v>
      </c>
      <c r="B194" s="1">
        <v>44970</v>
      </c>
      <c r="C194" t="s">
        <v>1010</v>
      </c>
      <c r="D194" t="s">
        <v>1016</v>
      </c>
      <c r="E194" t="s">
        <v>1030</v>
      </c>
      <c r="F194" t="s">
        <v>1034</v>
      </c>
      <c r="G194">
        <v>3</v>
      </c>
      <c r="H194">
        <v>31105</v>
      </c>
      <c r="I194">
        <v>20</v>
      </c>
      <c r="J194" t="s">
        <v>1036</v>
      </c>
      <c r="K194">
        <v>74652</v>
      </c>
    </row>
    <row r="195" spans="1:11" x14ac:dyDescent="0.25">
      <c r="A195" t="s">
        <v>203</v>
      </c>
      <c r="B195" s="1">
        <v>45175</v>
      </c>
      <c r="C195" t="s">
        <v>1013</v>
      </c>
      <c r="D195" t="s">
        <v>1020</v>
      </c>
      <c r="E195" t="s">
        <v>1024</v>
      </c>
      <c r="F195" t="s">
        <v>1033</v>
      </c>
      <c r="G195">
        <v>10</v>
      </c>
      <c r="H195">
        <v>26400</v>
      </c>
      <c r="I195">
        <v>0</v>
      </c>
      <c r="J195" t="s">
        <v>1037</v>
      </c>
      <c r="K195">
        <v>264000</v>
      </c>
    </row>
    <row r="196" spans="1:11" x14ac:dyDescent="0.25">
      <c r="A196" t="s">
        <v>204</v>
      </c>
      <c r="B196" s="1">
        <v>44962</v>
      </c>
      <c r="C196" t="s">
        <v>1010</v>
      </c>
      <c r="D196" t="s">
        <v>1020</v>
      </c>
      <c r="E196" t="s">
        <v>1022</v>
      </c>
      <c r="F196" t="s">
        <v>1032</v>
      </c>
      <c r="G196">
        <v>10</v>
      </c>
      <c r="H196">
        <v>47771</v>
      </c>
      <c r="I196">
        <v>15</v>
      </c>
      <c r="J196" t="s">
        <v>1037</v>
      </c>
      <c r="K196">
        <v>406053.5</v>
      </c>
    </row>
    <row r="197" spans="1:11" x14ac:dyDescent="0.25">
      <c r="A197" t="s">
        <v>205</v>
      </c>
      <c r="B197" s="1">
        <v>45199</v>
      </c>
      <c r="C197" t="s">
        <v>1013</v>
      </c>
      <c r="D197" t="s">
        <v>1014</v>
      </c>
      <c r="E197" t="s">
        <v>1028</v>
      </c>
      <c r="F197" t="s">
        <v>1034</v>
      </c>
      <c r="G197">
        <v>8</v>
      </c>
      <c r="H197">
        <v>35232</v>
      </c>
      <c r="I197">
        <v>20</v>
      </c>
      <c r="J197" t="s">
        <v>1036</v>
      </c>
      <c r="K197">
        <v>225484.79999999999</v>
      </c>
    </row>
    <row r="198" spans="1:11" x14ac:dyDescent="0.25">
      <c r="A198" t="s">
        <v>206</v>
      </c>
      <c r="B198" s="1">
        <v>44991</v>
      </c>
      <c r="C198" t="s">
        <v>1012</v>
      </c>
      <c r="D198" t="s">
        <v>1021</v>
      </c>
      <c r="E198" t="s">
        <v>1022</v>
      </c>
      <c r="F198" t="s">
        <v>1034</v>
      </c>
      <c r="G198">
        <v>10</v>
      </c>
      <c r="H198">
        <v>8591</v>
      </c>
      <c r="I198">
        <v>5</v>
      </c>
      <c r="J198" t="s">
        <v>1037</v>
      </c>
      <c r="K198">
        <v>81614.5</v>
      </c>
    </row>
    <row r="199" spans="1:11" x14ac:dyDescent="0.25">
      <c r="A199" t="s">
        <v>207</v>
      </c>
      <c r="B199" s="1">
        <v>44992</v>
      </c>
      <c r="C199" t="s">
        <v>1010</v>
      </c>
      <c r="D199" t="s">
        <v>1015</v>
      </c>
      <c r="E199" t="s">
        <v>1028</v>
      </c>
      <c r="F199" t="s">
        <v>1034</v>
      </c>
      <c r="G199">
        <v>7</v>
      </c>
      <c r="H199">
        <v>1269</v>
      </c>
      <c r="I199">
        <v>5</v>
      </c>
      <c r="J199" t="s">
        <v>1037</v>
      </c>
      <c r="K199">
        <v>8438.85</v>
      </c>
    </row>
    <row r="200" spans="1:11" x14ac:dyDescent="0.25">
      <c r="A200" t="s">
        <v>208</v>
      </c>
      <c r="B200" s="1">
        <v>45264</v>
      </c>
      <c r="C200" t="s">
        <v>1010</v>
      </c>
      <c r="D200" t="s">
        <v>1015</v>
      </c>
      <c r="E200" t="s">
        <v>1029</v>
      </c>
      <c r="F200" t="s">
        <v>1034</v>
      </c>
      <c r="G200">
        <v>9</v>
      </c>
      <c r="H200">
        <v>21380</v>
      </c>
      <c r="I200">
        <v>10</v>
      </c>
      <c r="J200" t="s">
        <v>1036</v>
      </c>
      <c r="K200">
        <v>173178</v>
      </c>
    </row>
    <row r="201" spans="1:11" x14ac:dyDescent="0.25">
      <c r="A201" t="s">
        <v>209</v>
      </c>
      <c r="B201" s="1">
        <v>45170</v>
      </c>
      <c r="C201" t="s">
        <v>1011</v>
      </c>
      <c r="D201" t="s">
        <v>1016</v>
      </c>
      <c r="E201" t="s">
        <v>1024</v>
      </c>
      <c r="F201" t="s">
        <v>1033</v>
      </c>
      <c r="G201">
        <v>9</v>
      </c>
      <c r="H201">
        <v>3885</v>
      </c>
      <c r="I201">
        <v>10</v>
      </c>
      <c r="J201" t="s">
        <v>1038</v>
      </c>
      <c r="K201">
        <v>31468.5</v>
      </c>
    </row>
    <row r="202" spans="1:11" x14ac:dyDescent="0.25">
      <c r="A202" t="s">
        <v>210</v>
      </c>
      <c r="B202" s="1">
        <v>45208</v>
      </c>
      <c r="C202" t="s">
        <v>1012</v>
      </c>
      <c r="D202" t="s">
        <v>1017</v>
      </c>
      <c r="E202" t="s">
        <v>1023</v>
      </c>
      <c r="F202" t="s">
        <v>1034</v>
      </c>
      <c r="G202">
        <v>5</v>
      </c>
      <c r="H202">
        <v>46026</v>
      </c>
      <c r="I202">
        <v>10</v>
      </c>
      <c r="J202" t="s">
        <v>1035</v>
      </c>
      <c r="K202">
        <v>207117</v>
      </c>
    </row>
    <row r="203" spans="1:11" x14ac:dyDescent="0.25">
      <c r="A203" t="s">
        <v>211</v>
      </c>
      <c r="B203" s="1">
        <v>45011</v>
      </c>
      <c r="C203" t="s">
        <v>1010</v>
      </c>
      <c r="D203" t="s">
        <v>1020</v>
      </c>
      <c r="E203" t="s">
        <v>1031</v>
      </c>
      <c r="F203" t="s">
        <v>1034</v>
      </c>
      <c r="G203">
        <v>6</v>
      </c>
      <c r="H203">
        <v>39947</v>
      </c>
      <c r="I203">
        <v>20</v>
      </c>
      <c r="J203" t="s">
        <v>1037</v>
      </c>
      <c r="K203">
        <v>191745.6</v>
      </c>
    </row>
    <row r="204" spans="1:11" x14ac:dyDescent="0.25">
      <c r="A204" t="s">
        <v>212</v>
      </c>
      <c r="B204" s="1">
        <v>45062</v>
      </c>
      <c r="C204" t="s">
        <v>1013</v>
      </c>
      <c r="D204" t="s">
        <v>1021</v>
      </c>
      <c r="E204" t="s">
        <v>1028</v>
      </c>
      <c r="F204" t="s">
        <v>1034</v>
      </c>
      <c r="G204">
        <v>8</v>
      </c>
      <c r="H204">
        <v>6706</v>
      </c>
      <c r="I204">
        <v>15</v>
      </c>
      <c r="J204" t="s">
        <v>1038</v>
      </c>
      <c r="K204">
        <v>45600.800000000003</v>
      </c>
    </row>
    <row r="205" spans="1:11" x14ac:dyDescent="0.25">
      <c r="A205" t="s">
        <v>213</v>
      </c>
      <c r="B205" s="1">
        <v>45197</v>
      </c>
      <c r="C205" t="s">
        <v>1013</v>
      </c>
      <c r="D205" t="s">
        <v>1017</v>
      </c>
      <c r="E205" t="s">
        <v>1031</v>
      </c>
      <c r="F205" t="s">
        <v>1034</v>
      </c>
      <c r="G205">
        <v>9</v>
      </c>
      <c r="H205">
        <v>22842</v>
      </c>
      <c r="I205">
        <v>10</v>
      </c>
      <c r="J205" t="s">
        <v>1038</v>
      </c>
      <c r="K205">
        <v>185020.2</v>
      </c>
    </row>
    <row r="206" spans="1:11" x14ac:dyDescent="0.25">
      <c r="A206" t="s">
        <v>214</v>
      </c>
      <c r="B206" s="1">
        <v>45237</v>
      </c>
      <c r="C206" t="s">
        <v>1013</v>
      </c>
      <c r="D206" t="s">
        <v>1020</v>
      </c>
      <c r="E206" t="s">
        <v>1023</v>
      </c>
      <c r="F206" t="s">
        <v>1032</v>
      </c>
      <c r="G206">
        <v>4</v>
      </c>
      <c r="H206">
        <v>31597</v>
      </c>
      <c r="I206">
        <v>0</v>
      </c>
      <c r="J206" t="s">
        <v>1036</v>
      </c>
      <c r="K206">
        <v>126388</v>
      </c>
    </row>
    <row r="207" spans="1:11" x14ac:dyDescent="0.25">
      <c r="A207" t="s">
        <v>215</v>
      </c>
      <c r="B207" s="1">
        <v>45143</v>
      </c>
      <c r="C207" t="s">
        <v>1011</v>
      </c>
      <c r="D207" t="s">
        <v>1017</v>
      </c>
      <c r="E207" t="s">
        <v>1027</v>
      </c>
      <c r="F207" t="s">
        <v>1034</v>
      </c>
      <c r="G207">
        <v>2</v>
      </c>
      <c r="H207">
        <v>4023</v>
      </c>
      <c r="I207">
        <v>0</v>
      </c>
      <c r="J207" t="s">
        <v>1038</v>
      </c>
      <c r="K207">
        <v>8046</v>
      </c>
    </row>
    <row r="208" spans="1:11" x14ac:dyDescent="0.25">
      <c r="A208" t="s">
        <v>216</v>
      </c>
      <c r="B208" s="1">
        <v>45035</v>
      </c>
      <c r="C208" t="s">
        <v>1010</v>
      </c>
      <c r="D208" t="s">
        <v>1014</v>
      </c>
      <c r="E208" t="s">
        <v>1028</v>
      </c>
      <c r="F208" t="s">
        <v>1032</v>
      </c>
      <c r="G208">
        <v>8</v>
      </c>
      <c r="H208">
        <v>7756</v>
      </c>
      <c r="I208">
        <v>10</v>
      </c>
      <c r="J208" t="s">
        <v>1036</v>
      </c>
      <c r="K208">
        <v>55843.199999999997</v>
      </c>
    </row>
    <row r="209" spans="1:11" x14ac:dyDescent="0.25">
      <c r="A209" t="s">
        <v>217</v>
      </c>
      <c r="B209" s="1">
        <v>45203</v>
      </c>
      <c r="C209" t="s">
        <v>1013</v>
      </c>
      <c r="D209" t="s">
        <v>1017</v>
      </c>
      <c r="E209" t="s">
        <v>1023</v>
      </c>
      <c r="F209" t="s">
        <v>1033</v>
      </c>
      <c r="G209">
        <v>5</v>
      </c>
      <c r="H209">
        <v>35116</v>
      </c>
      <c r="I209">
        <v>10</v>
      </c>
      <c r="J209" t="s">
        <v>1038</v>
      </c>
      <c r="K209">
        <v>158022</v>
      </c>
    </row>
    <row r="210" spans="1:11" x14ac:dyDescent="0.25">
      <c r="A210" t="s">
        <v>218</v>
      </c>
      <c r="B210" s="1">
        <v>45280</v>
      </c>
      <c r="C210" t="s">
        <v>1011</v>
      </c>
      <c r="D210" t="s">
        <v>1015</v>
      </c>
      <c r="E210" t="s">
        <v>1024</v>
      </c>
      <c r="F210" t="s">
        <v>1033</v>
      </c>
      <c r="G210">
        <v>6</v>
      </c>
      <c r="H210">
        <v>44187</v>
      </c>
      <c r="I210">
        <v>15</v>
      </c>
      <c r="J210" t="s">
        <v>1035</v>
      </c>
      <c r="K210">
        <v>225353.7</v>
      </c>
    </row>
    <row r="211" spans="1:11" x14ac:dyDescent="0.25">
      <c r="A211" t="s">
        <v>219</v>
      </c>
      <c r="B211" s="1">
        <v>45029</v>
      </c>
      <c r="C211" t="s">
        <v>1011</v>
      </c>
      <c r="D211" t="s">
        <v>1018</v>
      </c>
      <c r="E211" t="s">
        <v>1025</v>
      </c>
      <c r="F211" t="s">
        <v>1032</v>
      </c>
      <c r="G211">
        <v>7</v>
      </c>
      <c r="H211">
        <v>49860</v>
      </c>
      <c r="I211">
        <v>15</v>
      </c>
      <c r="J211" t="s">
        <v>1039</v>
      </c>
      <c r="K211">
        <v>296667</v>
      </c>
    </row>
    <row r="212" spans="1:11" x14ac:dyDescent="0.25">
      <c r="A212" t="s">
        <v>220</v>
      </c>
      <c r="B212" s="1">
        <v>45292</v>
      </c>
      <c r="C212" t="s">
        <v>1010</v>
      </c>
      <c r="D212" t="s">
        <v>1017</v>
      </c>
      <c r="E212" t="s">
        <v>1030</v>
      </c>
      <c r="F212" t="s">
        <v>1034</v>
      </c>
      <c r="G212">
        <v>5</v>
      </c>
      <c r="H212">
        <v>21478</v>
      </c>
      <c r="I212">
        <v>20</v>
      </c>
      <c r="J212" t="s">
        <v>1038</v>
      </c>
      <c r="K212">
        <v>85912</v>
      </c>
    </row>
    <row r="213" spans="1:11" x14ac:dyDescent="0.25">
      <c r="A213" t="s">
        <v>221</v>
      </c>
      <c r="B213" s="1">
        <v>45086</v>
      </c>
      <c r="C213" t="s">
        <v>1013</v>
      </c>
      <c r="D213" t="s">
        <v>1014</v>
      </c>
      <c r="E213" t="s">
        <v>1029</v>
      </c>
      <c r="F213" t="s">
        <v>1032</v>
      </c>
      <c r="G213">
        <v>3</v>
      </c>
      <c r="H213">
        <v>2473</v>
      </c>
      <c r="I213">
        <v>20</v>
      </c>
      <c r="J213" t="s">
        <v>1038</v>
      </c>
      <c r="K213">
        <v>5935.2000000000007</v>
      </c>
    </row>
    <row r="214" spans="1:11" x14ac:dyDescent="0.25">
      <c r="A214" t="s">
        <v>222</v>
      </c>
      <c r="B214" s="1">
        <v>45131</v>
      </c>
      <c r="C214" t="s">
        <v>1012</v>
      </c>
      <c r="D214" t="s">
        <v>1017</v>
      </c>
      <c r="E214" t="s">
        <v>1023</v>
      </c>
      <c r="F214" t="s">
        <v>1032</v>
      </c>
      <c r="G214">
        <v>5</v>
      </c>
      <c r="H214">
        <v>38850</v>
      </c>
      <c r="I214">
        <v>0</v>
      </c>
      <c r="J214" t="s">
        <v>1038</v>
      </c>
      <c r="K214">
        <v>194250</v>
      </c>
    </row>
    <row r="215" spans="1:11" x14ac:dyDescent="0.25">
      <c r="A215" t="s">
        <v>223</v>
      </c>
      <c r="B215" s="1">
        <v>45270</v>
      </c>
      <c r="C215" t="s">
        <v>1013</v>
      </c>
      <c r="D215" t="s">
        <v>1019</v>
      </c>
      <c r="E215" t="s">
        <v>1027</v>
      </c>
      <c r="F215" t="s">
        <v>1032</v>
      </c>
      <c r="G215">
        <v>1</v>
      </c>
      <c r="H215">
        <v>21456</v>
      </c>
      <c r="I215">
        <v>15</v>
      </c>
      <c r="J215" t="s">
        <v>1036</v>
      </c>
      <c r="K215">
        <v>18237.599999999999</v>
      </c>
    </row>
    <row r="216" spans="1:11" x14ac:dyDescent="0.25">
      <c r="A216" t="s">
        <v>224</v>
      </c>
      <c r="B216" s="1">
        <v>45259</v>
      </c>
      <c r="C216" t="s">
        <v>1012</v>
      </c>
      <c r="D216" t="s">
        <v>1014</v>
      </c>
      <c r="E216" t="s">
        <v>1022</v>
      </c>
      <c r="F216" t="s">
        <v>1034</v>
      </c>
      <c r="G216">
        <v>1</v>
      </c>
      <c r="H216">
        <v>42867</v>
      </c>
      <c r="I216">
        <v>20</v>
      </c>
      <c r="J216" t="s">
        <v>1037</v>
      </c>
      <c r="K216">
        <v>34293.599999999999</v>
      </c>
    </row>
    <row r="217" spans="1:11" x14ac:dyDescent="0.25">
      <c r="A217" t="s">
        <v>225</v>
      </c>
      <c r="B217" s="1">
        <v>45118</v>
      </c>
      <c r="C217" t="s">
        <v>1012</v>
      </c>
      <c r="D217" t="s">
        <v>1018</v>
      </c>
      <c r="E217" t="s">
        <v>1029</v>
      </c>
      <c r="F217" t="s">
        <v>1034</v>
      </c>
      <c r="G217">
        <v>9</v>
      </c>
      <c r="H217">
        <v>14752</v>
      </c>
      <c r="I217">
        <v>20</v>
      </c>
      <c r="J217" t="s">
        <v>1036</v>
      </c>
      <c r="K217">
        <v>106214.39999999999</v>
      </c>
    </row>
    <row r="218" spans="1:11" x14ac:dyDescent="0.25">
      <c r="A218" t="s">
        <v>226</v>
      </c>
      <c r="B218" s="1">
        <v>45151</v>
      </c>
      <c r="C218" t="s">
        <v>1013</v>
      </c>
      <c r="D218" t="s">
        <v>1019</v>
      </c>
      <c r="E218" t="s">
        <v>1025</v>
      </c>
      <c r="F218" t="s">
        <v>1032</v>
      </c>
      <c r="G218">
        <v>3</v>
      </c>
      <c r="H218">
        <v>22029</v>
      </c>
      <c r="I218">
        <v>10</v>
      </c>
      <c r="J218" t="s">
        <v>1035</v>
      </c>
      <c r="K218">
        <v>59478.3</v>
      </c>
    </row>
    <row r="219" spans="1:11" x14ac:dyDescent="0.25">
      <c r="A219" t="s">
        <v>227</v>
      </c>
      <c r="B219" s="1">
        <v>45191</v>
      </c>
      <c r="C219" t="s">
        <v>1012</v>
      </c>
      <c r="D219" t="s">
        <v>1014</v>
      </c>
      <c r="E219" t="s">
        <v>1029</v>
      </c>
      <c r="F219" t="s">
        <v>1033</v>
      </c>
      <c r="G219">
        <v>6</v>
      </c>
      <c r="H219">
        <v>14143</v>
      </c>
      <c r="I219">
        <v>15</v>
      </c>
      <c r="J219" t="s">
        <v>1036</v>
      </c>
      <c r="K219">
        <v>72129.3</v>
      </c>
    </row>
    <row r="220" spans="1:11" x14ac:dyDescent="0.25">
      <c r="A220" t="s">
        <v>228</v>
      </c>
      <c r="B220" s="1">
        <v>45158</v>
      </c>
      <c r="C220" t="s">
        <v>1011</v>
      </c>
      <c r="D220" t="s">
        <v>1021</v>
      </c>
      <c r="E220" t="s">
        <v>1031</v>
      </c>
      <c r="F220" t="s">
        <v>1032</v>
      </c>
      <c r="G220">
        <v>5</v>
      </c>
      <c r="H220">
        <v>13618</v>
      </c>
      <c r="I220">
        <v>20</v>
      </c>
      <c r="J220" t="s">
        <v>1037</v>
      </c>
      <c r="K220">
        <v>54472</v>
      </c>
    </row>
    <row r="221" spans="1:11" x14ac:dyDescent="0.25">
      <c r="A221" t="s">
        <v>229</v>
      </c>
      <c r="B221" s="1">
        <v>44988</v>
      </c>
      <c r="C221" t="s">
        <v>1011</v>
      </c>
      <c r="D221" t="s">
        <v>1020</v>
      </c>
      <c r="E221" t="s">
        <v>1028</v>
      </c>
      <c r="F221" t="s">
        <v>1033</v>
      </c>
      <c r="G221">
        <v>8</v>
      </c>
      <c r="H221">
        <v>19780</v>
      </c>
      <c r="I221">
        <v>10</v>
      </c>
      <c r="J221" t="s">
        <v>1035</v>
      </c>
      <c r="K221">
        <v>142416</v>
      </c>
    </row>
    <row r="222" spans="1:11" x14ac:dyDescent="0.25">
      <c r="A222" t="s">
        <v>230</v>
      </c>
      <c r="B222" s="1">
        <v>45053</v>
      </c>
      <c r="C222" t="s">
        <v>1013</v>
      </c>
      <c r="D222" t="s">
        <v>1014</v>
      </c>
      <c r="E222" t="s">
        <v>1023</v>
      </c>
      <c r="F222" t="s">
        <v>1033</v>
      </c>
      <c r="G222">
        <v>9</v>
      </c>
      <c r="H222">
        <v>19130</v>
      </c>
      <c r="I222">
        <v>0</v>
      </c>
      <c r="J222" t="s">
        <v>1037</v>
      </c>
      <c r="K222">
        <v>172170</v>
      </c>
    </row>
    <row r="223" spans="1:11" x14ac:dyDescent="0.25">
      <c r="A223" t="s">
        <v>231</v>
      </c>
      <c r="B223" s="1">
        <v>45042</v>
      </c>
      <c r="C223" t="s">
        <v>1010</v>
      </c>
      <c r="D223" t="s">
        <v>1018</v>
      </c>
      <c r="E223" t="s">
        <v>1027</v>
      </c>
      <c r="F223" t="s">
        <v>1034</v>
      </c>
      <c r="G223">
        <v>1</v>
      </c>
      <c r="H223">
        <v>35883</v>
      </c>
      <c r="I223">
        <v>5</v>
      </c>
      <c r="J223" t="s">
        <v>1037</v>
      </c>
      <c r="K223">
        <v>34088.85</v>
      </c>
    </row>
    <row r="224" spans="1:11" x14ac:dyDescent="0.25">
      <c r="A224" t="s">
        <v>232</v>
      </c>
      <c r="B224" s="1">
        <v>44959</v>
      </c>
      <c r="C224" t="s">
        <v>1011</v>
      </c>
      <c r="D224" t="s">
        <v>1016</v>
      </c>
      <c r="E224" t="s">
        <v>1022</v>
      </c>
      <c r="F224" t="s">
        <v>1033</v>
      </c>
      <c r="G224">
        <v>8</v>
      </c>
      <c r="H224">
        <v>21915</v>
      </c>
      <c r="I224">
        <v>15</v>
      </c>
      <c r="J224" t="s">
        <v>1039</v>
      </c>
      <c r="K224">
        <v>149022</v>
      </c>
    </row>
    <row r="225" spans="1:11" x14ac:dyDescent="0.25">
      <c r="A225" t="s">
        <v>233</v>
      </c>
      <c r="B225" s="1">
        <v>45100</v>
      </c>
      <c r="C225" t="s">
        <v>1013</v>
      </c>
      <c r="D225" t="s">
        <v>1020</v>
      </c>
      <c r="E225" t="s">
        <v>1030</v>
      </c>
      <c r="F225" t="s">
        <v>1032</v>
      </c>
      <c r="G225">
        <v>8</v>
      </c>
      <c r="H225">
        <v>29908</v>
      </c>
      <c r="I225">
        <v>0</v>
      </c>
      <c r="J225" t="s">
        <v>1035</v>
      </c>
      <c r="K225">
        <v>239264</v>
      </c>
    </row>
    <row r="226" spans="1:11" x14ac:dyDescent="0.25">
      <c r="A226" t="s">
        <v>234</v>
      </c>
      <c r="B226" s="1">
        <v>44937</v>
      </c>
      <c r="C226" t="s">
        <v>1012</v>
      </c>
      <c r="D226" t="s">
        <v>1014</v>
      </c>
      <c r="E226" t="s">
        <v>1026</v>
      </c>
      <c r="F226" t="s">
        <v>1032</v>
      </c>
      <c r="G226">
        <v>5</v>
      </c>
      <c r="H226">
        <v>44982</v>
      </c>
      <c r="I226">
        <v>0</v>
      </c>
      <c r="J226" t="s">
        <v>1039</v>
      </c>
      <c r="K226">
        <v>224910</v>
      </c>
    </row>
    <row r="227" spans="1:11" x14ac:dyDescent="0.25">
      <c r="A227" t="s">
        <v>235</v>
      </c>
      <c r="B227" s="1">
        <v>45228</v>
      </c>
      <c r="C227" t="s">
        <v>1011</v>
      </c>
      <c r="D227" t="s">
        <v>1020</v>
      </c>
      <c r="E227" t="s">
        <v>1022</v>
      </c>
      <c r="F227" t="s">
        <v>1034</v>
      </c>
      <c r="G227">
        <v>1</v>
      </c>
      <c r="H227">
        <v>8710</v>
      </c>
      <c r="I227">
        <v>15</v>
      </c>
      <c r="J227" t="s">
        <v>1039</v>
      </c>
      <c r="K227">
        <v>7403.5</v>
      </c>
    </row>
    <row r="228" spans="1:11" x14ac:dyDescent="0.25">
      <c r="A228" t="s">
        <v>236</v>
      </c>
      <c r="B228" s="1">
        <v>45210</v>
      </c>
      <c r="C228" t="s">
        <v>1013</v>
      </c>
      <c r="D228" t="s">
        <v>1017</v>
      </c>
      <c r="E228" t="s">
        <v>1022</v>
      </c>
      <c r="F228" t="s">
        <v>1033</v>
      </c>
      <c r="G228">
        <v>7</v>
      </c>
      <c r="H228">
        <v>18868</v>
      </c>
      <c r="I228">
        <v>5</v>
      </c>
      <c r="J228" t="s">
        <v>1037</v>
      </c>
      <c r="K228">
        <v>125472.2</v>
      </c>
    </row>
    <row r="229" spans="1:11" x14ac:dyDescent="0.25">
      <c r="A229" t="s">
        <v>237</v>
      </c>
      <c r="B229" s="1">
        <v>45044</v>
      </c>
      <c r="C229" t="s">
        <v>1013</v>
      </c>
      <c r="D229" t="s">
        <v>1014</v>
      </c>
      <c r="E229" t="s">
        <v>1025</v>
      </c>
      <c r="F229" t="s">
        <v>1032</v>
      </c>
      <c r="G229">
        <v>5</v>
      </c>
      <c r="H229">
        <v>10785</v>
      </c>
      <c r="I229">
        <v>10</v>
      </c>
      <c r="J229" t="s">
        <v>1039</v>
      </c>
      <c r="K229">
        <v>48532.5</v>
      </c>
    </row>
    <row r="230" spans="1:11" x14ac:dyDescent="0.25">
      <c r="A230" t="s">
        <v>238</v>
      </c>
      <c r="B230" s="1">
        <v>45228</v>
      </c>
      <c r="C230" t="s">
        <v>1010</v>
      </c>
      <c r="D230" t="s">
        <v>1019</v>
      </c>
      <c r="E230" t="s">
        <v>1028</v>
      </c>
      <c r="F230" t="s">
        <v>1033</v>
      </c>
      <c r="G230">
        <v>10</v>
      </c>
      <c r="H230">
        <v>11321</v>
      </c>
      <c r="I230">
        <v>0</v>
      </c>
      <c r="J230" t="s">
        <v>1036</v>
      </c>
      <c r="K230">
        <v>113210</v>
      </c>
    </row>
    <row r="231" spans="1:11" x14ac:dyDescent="0.25">
      <c r="A231" t="s">
        <v>239</v>
      </c>
      <c r="B231" s="1">
        <v>45039</v>
      </c>
      <c r="C231" t="s">
        <v>1012</v>
      </c>
      <c r="D231" t="s">
        <v>1018</v>
      </c>
      <c r="E231" t="s">
        <v>1029</v>
      </c>
      <c r="F231" t="s">
        <v>1033</v>
      </c>
      <c r="G231">
        <v>4</v>
      </c>
      <c r="H231">
        <v>18933</v>
      </c>
      <c r="I231">
        <v>0</v>
      </c>
      <c r="J231" t="s">
        <v>1039</v>
      </c>
      <c r="K231">
        <v>75732</v>
      </c>
    </row>
    <row r="232" spans="1:11" x14ac:dyDescent="0.25">
      <c r="A232" t="s">
        <v>240</v>
      </c>
      <c r="B232" s="1">
        <v>44930</v>
      </c>
      <c r="C232" t="s">
        <v>1012</v>
      </c>
      <c r="D232" t="s">
        <v>1015</v>
      </c>
      <c r="E232" t="s">
        <v>1022</v>
      </c>
      <c r="F232" t="s">
        <v>1034</v>
      </c>
      <c r="G232">
        <v>1</v>
      </c>
      <c r="H232">
        <v>8501</v>
      </c>
      <c r="I232">
        <v>5</v>
      </c>
      <c r="J232" t="s">
        <v>1039</v>
      </c>
      <c r="K232">
        <v>8075.95</v>
      </c>
    </row>
    <row r="233" spans="1:11" x14ac:dyDescent="0.25">
      <c r="A233" t="s">
        <v>241</v>
      </c>
      <c r="B233" s="1">
        <v>44963</v>
      </c>
      <c r="C233" t="s">
        <v>1012</v>
      </c>
      <c r="D233" t="s">
        <v>1015</v>
      </c>
      <c r="E233" t="s">
        <v>1027</v>
      </c>
      <c r="F233" t="s">
        <v>1032</v>
      </c>
      <c r="G233">
        <v>9</v>
      </c>
      <c r="H233">
        <v>1999</v>
      </c>
      <c r="I233">
        <v>10</v>
      </c>
      <c r="J233" t="s">
        <v>1037</v>
      </c>
      <c r="K233">
        <v>16191.9</v>
      </c>
    </row>
    <row r="234" spans="1:11" x14ac:dyDescent="0.25">
      <c r="A234" t="s">
        <v>242</v>
      </c>
      <c r="B234" s="1">
        <v>45289</v>
      </c>
      <c r="C234" t="s">
        <v>1013</v>
      </c>
      <c r="D234" t="s">
        <v>1018</v>
      </c>
      <c r="E234" t="s">
        <v>1024</v>
      </c>
      <c r="F234" t="s">
        <v>1032</v>
      </c>
      <c r="G234">
        <v>6</v>
      </c>
      <c r="H234">
        <v>41825</v>
      </c>
      <c r="I234">
        <v>0</v>
      </c>
      <c r="J234" t="s">
        <v>1038</v>
      </c>
      <c r="K234">
        <v>250950</v>
      </c>
    </row>
    <row r="235" spans="1:11" x14ac:dyDescent="0.25">
      <c r="A235" t="s">
        <v>243</v>
      </c>
      <c r="B235" s="1">
        <v>45250</v>
      </c>
      <c r="C235" t="s">
        <v>1013</v>
      </c>
      <c r="D235" t="s">
        <v>1016</v>
      </c>
      <c r="E235" t="s">
        <v>1023</v>
      </c>
      <c r="F235" t="s">
        <v>1032</v>
      </c>
      <c r="G235">
        <v>4</v>
      </c>
      <c r="H235">
        <v>37675</v>
      </c>
      <c r="I235">
        <v>5</v>
      </c>
      <c r="J235" t="s">
        <v>1036</v>
      </c>
      <c r="K235">
        <v>143165</v>
      </c>
    </row>
    <row r="236" spans="1:11" x14ac:dyDescent="0.25">
      <c r="A236" t="s">
        <v>244</v>
      </c>
      <c r="B236" s="1">
        <v>44957</v>
      </c>
      <c r="C236" t="s">
        <v>1012</v>
      </c>
      <c r="D236" t="s">
        <v>1018</v>
      </c>
      <c r="E236" t="s">
        <v>1030</v>
      </c>
      <c r="F236" t="s">
        <v>1033</v>
      </c>
      <c r="G236">
        <v>7</v>
      </c>
      <c r="H236">
        <v>34689</v>
      </c>
      <c r="I236">
        <v>15</v>
      </c>
      <c r="J236" t="s">
        <v>1037</v>
      </c>
      <c r="K236">
        <v>206399.55</v>
      </c>
    </row>
    <row r="237" spans="1:11" x14ac:dyDescent="0.25">
      <c r="A237" t="s">
        <v>245</v>
      </c>
      <c r="B237" s="1">
        <v>45044</v>
      </c>
      <c r="C237" t="s">
        <v>1013</v>
      </c>
      <c r="D237" t="s">
        <v>1017</v>
      </c>
      <c r="E237" t="s">
        <v>1030</v>
      </c>
      <c r="F237" t="s">
        <v>1034</v>
      </c>
      <c r="G237">
        <v>9</v>
      </c>
      <c r="H237">
        <v>7709</v>
      </c>
      <c r="I237">
        <v>5</v>
      </c>
      <c r="J237" t="s">
        <v>1038</v>
      </c>
      <c r="K237">
        <v>65911.95</v>
      </c>
    </row>
    <row r="238" spans="1:11" x14ac:dyDescent="0.25">
      <c r="A238" t="s">
        <v>246</v>
      </c>
      <c r="B238" s="1">
        <v>44961</v>
      </c>
      <c r="C238" t="s">
        <v>1010</v>
      </c>
      <c r="D238" t="s">
        <v>1018</v>
      </c>
      <c r="E238" t="s">
        <v>1022</v>
      </c>
      <c r="F238" t="s">
        <v>1032</v>
      </c>
      <c r="G238">
        <v>7</v>
      </c>
      <c r="H238">
        <v>14538</v>
      </c>
      <c r="I238">
        <v>5</v>
      </c>
      <c r="J238" t="s">
        <v>1036</v>
      </c>
      <c r="K238">
        <v>96677.7</v>
      </c>
    </row>
    <row r="239" spans="1:11" x14ac:dyDescent="0.25">
      <c r="A239" t="s">
        <v>247</v>
      </c>
      <c r="B239" s="1">
        <v>44943</v>
      </c>
      <c r="C239" t="s">
        <v>1013</v>
      </c>
      <c r="D239" t="s">
        <v>1018</v>
      </c>
      <c r="E239" t="s">
        <v>1027</v>
      </c>
      <c r="F239" t="s">
        <v>1034</v>
      </c>
      <c r="G239">
        <v>7</v>
      </c>
      <c r="H239">
        <v>36555</v>
      </c>
      <c r="I239">
        <v>20</v>
      </c>
      <c r="J239" t="s">
        <v>1035</v>
      </c>
      <c r="K239">
        <v>204708</v>
      </c>
    </row>
    <row r="240" spans="1:11" x14ac:dyDescent="0.25">
      <c r="A240" t="s">
        <v>248</v>
      </c>
      <c r="B240" s="1">
        <v>45096</v>
      </c>
      <c r="C240" t="s">
        <v>1013</v>
      </c>
      <c r="D240" t="s">
        <v>1020</v>
      </c>
      <c r="E240" t="s">
        <v>1023</v>
      </c>
      <c r="F240" t="s">
        <v>1034</v>
      </c>
      <c r="G240">
        <v>4</v>
      </c>
      <c r="H240">
        <v>23958</v>
      </c>
      <c r="I240">
        <v>0</v>
      </c>
      <c r="J240" t="s">
        <v>1036</v>
      </c>
      <c r="K240">
        <v>95832</v>
      </c>
    </row>
    <row r="241" spans="1:11" x14ac:dyDescent="0.25">
      <c r="A241" t="s">
        <v>249</v>
      </c>
      <c r="B241" s="1">
        <v>44963</v>
      </c>
      <c r="C241" t="s">
        <v>1011</v>
      </c>
      <c r="D241" t="s">
        <v>1015</v>
      </c>
      <c r="E241" t="s">
        <v>1023</v>
      </c>
      <c r="F241" t="s">
        <v>1034</v>
      </c>
      <c r="G241">
        <v>3</v>
      </c>
      <c r="H241">
        <v>37003</v>
      </c>
      <c r="I241">
        <v>10</v>
      </c>
      <c r="J241" t="s">
        <v>1035</v>
      </c>
      <c r="K241">
        <v>99908.1</v>
      </c>
    </row>
    <row r="242" spans="1:11" x14ac:dyDescent="0.25">
      <c r="A242" t="s">
        <v>250</v>
      </c>
      <c r="B242" s="1">
        <v>45190</v>
      </c>
      <c r="C242" t="s">
        <v>1010</v>
      </c>
      <c r="D242" t="s">
        <v>1016</v>
      </c>
      <c r="E242" t="s">
        <v>1027</v>
      </c>
      <c r="F242" t="s">
        <v>1033</v>
      </c>
      <c r="G242">
        <v>7</v>
      </c>
      <c r="H242">
        <v>21872</v>
      </c>
      <c r="I242">
        <v>15</v>
      </c>
      <c r="J242" t="s">
        <v>1036</v>
      </c>
      <c r="K242">
        <v>130138.4</v>
      </c>
    </row>
    <row r="243" spans="1:11" x14ac:dyDescent="0.25">
      <c r="A243" t="s">
        <v>251</v>
      </c>
      <c r="B243" s="1">
        <v>45048</v>
      </c>
      <c r="C243" t="s">
        <v>1011</v>
      </c>
      <c r="D243" t="s">
        <v>1020</v>
      </c>
      <c r="E243" t="s">
        <v>1029</v>
      </c>
      <c r="F243" t="s">
        <v>1033</v>
      </c>
      <c r="G243">
        <v>7</v>
      </c>
      <c r="H243">
        <v>18763</v>
      </c>
      <c r="I243">
        <v>20</v>
      </c>
      <c r="J243" t="s">
        <v>1038</v>
      </c>
      <c r="K243">
        <v>105072.8</v>
      </c>
    </row>
    <row r="244" spans="1:11" x14ac:dyDescent="0.25">
      <c r="A244" t="s">
        <v>252</v>
      </c>
      <c r="B244" s="1">
        <v>45069</v>
      </c>
      <c r="C244" t="s">
        <v>1012</v>
      </c>
      <c r="D244" t="s">
        <v>1015</v>
      </c>
      <c r="E244" t="s">
        <v>1023</v>
      </c>
      <c r="F244" t="s">
        <v>1034</v>
      </c>
      <c r="G244">
        <v>4</v>
      </c>
      <c r="H244">
        <v>10277</v>
      </c>
      <c r="I244">
        <v>5</v>
      </c>
      <c r="J244" t="s">
        <v>1035</v>
      </c>
      <c r="K244">
        <v>39052.6</v>
      </c>
    </row>
    <row r="245" spans="1:11" x14ac:dyDescent="0.25">
      <c r="A245" t="s">
        <v>253</v>
      </c>
      <c r="B245" s="1">
        <v>45269</v>
      </c>
      <c r="C245" t="s">
        <v>1012</v>
      </c>
      <c r="D245" t="s">
        <v>1018</v>
      </c>
      <c r="E245" t="s">
        <v>1027</v>
      </c>
      <c r="F245" t="s">
        <v>1034</v>
      </c>
      <c r="G245">
        <v>5</v>
      </c>
      <c r="H245">
        <v>47160</v>
      </c>
      <c r="I245">
        <v>15</v>
      </c>
      <c r="J245" t="s">
        <v>1039</v>
      </c>
      <c r="K245">
        <v>200430</v>
      </c>
    </row>
    <row r="246" spans="1:11" x14ac:dyDescent="0.25">
      <c r="A246" t="s">
        <v>254</v>
      </c>
      <c r="B246" s="1">
        <v>45175</v>
      </c>
      <c r="C246" t="s">
        <v>1010</v>
      </c>
      <c r="D246" t="s">
        <v>1015</v>
      </c>
      <c r="E246" t="s">
        <v>1027</v>
      </c>
      <c r="F246" t="s">
        <v>1033</v>
      </c>
      <c r="G246">
        <v>2</v>
      </c>
      <c r="H246">
        <v>19564</v>
      </c>
      <c r="I246">
        <v>10</v>
      </c>
      <c r="J246" t="s">
        <v>1036</v>
      </c>
      <c r="K246">
        <v>35215.199999999997</v>
      </c>
    </row>
    <row r="247" spans="1:11" x14ac:dyDescent="0.25">
      <c r="A247" t="s">
        <v>255</v>
      </c>
      <c r="B247" s="1">
        <v>45036</v>
      </c>
      <c r="C247" t="s">
        <v>1013</v>
      </c>
      <c r="D247" t="s">
        <v>1021</v>
      </c>
      <c r="E247" t="s">
        <v>1030</v>
      </c>
      <c r="F247" t="s">
        <v>1032</v>
      </c>
      <c r="G247">
        <v>7</v>
      </c>
      <c r="H247">
        <v>38623</v>
      </c>
      <c r="I247">
        <v>15</v>
      </c>
      <c r="J247" t="s">
        <v>1035</v>
      </c>
      <c r="K247">
        <v>229806.85</v>
      </c>
    </row>
    <row r="248" spans="1:11" x14ac:dyDescent="0.25">
      <c r="A248" t="s">
        <v>256</v>
      </c>
      <c r="B248" s="1">
        <v>45203</v>
      </c>
      <c r="C248" t="s">
        <v>1011</v>
      </c>
      <c r="D248" t="s">
        <v>1014</v>
      </c>
      <c r="E248" t="s">
        <v>1027</v>
      </c>
      <c r="F248" t="s">
        <v>1034</v>
      </c>
      <c r="G248">
        <v>4</v>
      </c>
      <c r="H248">
        <v>17044</v>
      </c>
      <c r="I248">
        <v>15</v>
      </c>
      <c r="J248" t="s">
        <v>1037</v>
      </c>
      <c r="K248">
        <v>57949.599999999999</v>
      </c>
    </row>
    <row r="249" spans="1:11" x14ac:dyDescent="0.25">
      <c r="A249" t="s">
        <v>257</v>
      </c>
      <c r="B249" s="1">
        <v>44994</v>
      </c>
      <c r="C249" t="s">
        <v>1010</v>
      </c>
      <c r="D249" t="s">
        <v>1014</v>
      </c>
      <c r="E249" t="s">
        <v>1022</v>
      </c>
      <c r="F249" t="s">
        <v>1033</v>
      </c>
      <c r="G249">
        <v>9</v>
      </c>
      <c r="H249">
        <v>12224</v>
      </c>
      <c r="I249">
        <v>0</v>
      </c>
      <c r="J249" t="s">
        <v>1036</v>
      </c>
      <c r="K249">
        <v>110016</v>
      </c>
    </row>
    <row r="250" spans="1:11" x14ac:dyDescent="0.25">
      <c r="A250" t="s">
        <v>258</v>
      </c>
      <c r="B250" s="1">
        <v>45219</v>
      </c>
      <c r="C250" t="s">
        <v>1011</v>
      </c>
      <c r="D250" t="s">
        <v>1019</v>
      </c>
      <c r="E250" t="s">
        <v>1031</v>
      </c>
      <c r="F250" t="s">
        <v>1034</v>
      </c>
      <c r="G250">
        <v>10</v>
      </c>
      <c r="H250">
        <v>5668</v>
      </c>
      <c r="I250">
        <v>10</v>
      </c>
      <c r="J250" t="s">
        <v>1036</v>
      </c>
      <c r="K250">
        <v>51012</v>
      </c>
    </row>
    <row r="251" spans="1:11" x14ac:dyDescent="0.25">
      <c r="A251" t="s">
        <v>259</v>
      </c>
      <c r="B251" s="1">
        <v>45222</v>
      </c>
      <c r="C251" t="s">
        <v>1013</v>
      </c>
      <c r="D251" t="s">
        <v>1017</v>
      </c>
      <c r="E251" t="s">
        <v>1028</v>
      </c>
      <c r="F251" t="s">
        <v>1032</v>
      </c>
      <c r="G251">
        <v>5</v>
      </c>
      <c r="H251">
        <v>21406</v>
      </c>
      <c r="I251">
        <v>5</v>
      </c>
      <c r="J251" t="s">
        <v>1038</v>
      </c>
      <c r="K251">
        <v>101678.5</v>
      </c>
    </row>
    <row r="252" spans="1:11" x14ac:dyDescent="0.25">
      <c r="A252" t="s">
        <v>260</v>
      </c>
      <c r="B252" s="1">
        <v>45169</v>
      </c>
      <c r="C252" t="s">
        <v>1011</v>
      </c>
      <c r="D252" t="s">
        <v>1018</v>
      </c>
      <c r="E252" t="s">
        <v>1025</v>
      </c>
      <c r="F252" t="s">
        <v>1032</v>
      </c>
      <c r="G252">
        <v>5</v>
      </c>
      <c r="H252">
        <v>41190</v>
      </c>
      <c r="I252">
        <v>0</v>
      </c>
      <c r="J252" t="s">
        <v>1038</v>
      </c>
      <c r="K252">
        <v>205950</v>
      </c>
    </row>
    <row r="253" spans="1:11" x14ac:dyDescent="0.25">
      <c r="A253" t="s">
        <v>261</v>
      </c>
      <c r="B253" s="1">
        <v>45051</v>
      </c>
      <c r="C253" t="s">
        <v>1010</v>
      </c>
      <c r="D253" t="s">
        <v>1018</v>
      </c>
      <c r="E253" t="s">
        <v>1030</v>
      </c>
      <c r="F253" t="s">
        <v>1034</v>
      </c>
      <c r="G253">
        <v>9</v>
      </c>
      <c r="H253">
        <v>23199</v>
      </c>
      <c r="I253">
        <v>0</v>
      </c>
      <c r="J253" t="s">
        <v>1038</v>
      </c>
      <c r="K253">
        <v>208791</v>
      </c>
    </row>
    <row r="254" spans="1:11" x14ac:dyDescent="0.25">
      <c r="A254" t="s">
        <v>262</v>
      </c>
      <c r="B254" s="1">
        <v>45169</v>
      </c>
      <c r="C254" t="s">
        <v>1013</v>
      </c>
      <c r="D254" t="s">
        <v>1021</v>
      </c>
      <c r="E254" t="s">
        <v>1031</v>
      </c>
      <c r="F254" t="s">
        <v>1032</v>
      </c>
      <c r="G254">
        <v>5</v>
      </c>
      <c r="H254">
        <v>36427</v>
      </c>
      <c r="I254">
        <v>5</v>
      </c>
      <c r="J254" t="s">
        <v>1035</v>
      </c>
      <c r="K254">
        <v>173028.25</v>
      </c>
    </row>
    <row r="255" spans="1:11" x14ac:dyDescent="0.25">
      <c r="A255" t="s">
        <v>263</v>
      </c>
      <c r="B255" s="1">
        <v>45135</v>
      </c>
      <c r="C255" t="s">
        <v>1013</v>
      </c>
      <c r="D255" t="s">
        <v>1021</v>
      </c>
      <c r="E255" t="s">
        <v>1029</v>
      </c>
      <c r="F255" t="s">
        <v>1034</v>
      </c>
      <c r="G255">
        <v>7</v>
      </c>
      <c r="H255">
        <v>30074</v>
      </c>
      <c r="I255">
        <v>20</v>
      </c>
      <c r="J255" t="s">
        <v>1039</v>
      </c>
      <c r="K255">
        <v>168414.4</v>
      </c>
    </row>
    <row r="256" spans="1:11" x14ac:dyDescent="0.25">
      <c r="A256" t="s">
        <v>264</v>
      </c>
      <c r="B256" s="1">
        <v>45024</v>
      </c>
      <c r="C256" t="s">
        <v>1010</v>
      </c>
      <c r="D256" t="s">
        <v>1017</v>
      </c>
      <c r="E256" t="s">
        <v>1026</v>
      </c>
      <c r="F256" t="s">
        <v>1032</v>
      </c>
      <c r="G256">
        <v>4</v>
      </c>
      <c r="H256">
        <v>4324</v>
      </c>
      <c r="I256">
        <v>10</v>
      </c>
      <c r="J256" t="s">
        <v>1036</v>
      </c>
      <c r="K256">
        <v>15566.4</v>
      </c>
    </row>
    <row r="257" spans="1:11" x14ac:dyDescent="0.25">
      <c r="A257" t="s">
        <v>265</v>
      </c>
      <c r="B257" s="1">
        <v>44975</v>
      </c>
      <c r="C257" t="s">
        <v>1013</v>
      </c>
      <c r="D257" t="s">
        <v>1016</v>
      </c>
      <c r="E257" t="s">
        <v>1029</v>
      </c>
      <c r="F257" t="s">
        <v>1033</v>
      </c>
      <c r="G257">
        <v>2</v>
      </c>
      <c r="H257">
        <v>9524</v>
      </c>
      <c r="I257">
        <v>15</v>
      </c>
      <c r="J257" t="s">
        <v>1035</v>
      </c>
      <c r="K257">
        <v>16190.8</v>
      </c>
    </row>
    <row r="258" spans="1:11" x14ac:dyDescent="0.25">
      <c r="A258" t="s">
        <v>266</v>
      </c>
      <c r="B258" s="1">
        <v>44976</v>
      </c>
      <c r="C258" t="s">
        <v>1011</v>
      </c>
      <c r="D258" t="s">
        <v>1015</v>
      </c>
      <c r="E258" t="s">
        <v>1022</v>
      </c>
      <c r="F258" t="s">
        <v>1034</v>
      </c>
      <c r="G258">
        <v>3</v>
      </c>
      <c r="H258">
        <v>2900</v>
      </c>
      <c r="I258">
        <v>20</v>
      </c>
      <c r="J258" t="s">
        <v>1036</v>
      </c>
      <c r="K258">
        <v>6960</v>
      </c>
    </row>
    <row r="259" spans="1:11" x14ac:dyDescent="0.25">
      <c r="A259" t="s">
        <v>267</v>
      </c>
      <c r="B259" s="1">
        <v>45264</v>
      </c>
      <c r="C259" t="s">
        <v>1012</v>
      </c>
      <c r="D259" t="s">
        <v>1019</v>
      </c>
      <c r="E259" t="s">
        <v>1027</v>
      </c>
      <c r="F259" t="s">
        <v>1034</v>
      </c>
      <c r="G259">
        <v>3</v>
      </c>
      <c r="H259">
        <v>31850</v>
      </c>
      <c r="I259">
        <v>10</v>
      </c>
      <c r="J259" t="s">
        <v>1039</v>
      </c>
      <c r="K259">
        <v>85995</v>
      </c>
    </row>
    <row r="260" spans="1:11" x14ac:dyDescent="0.25">
      <c r="A260" t="s">
        <v>268</v>
      </c>
      <c r="B260" s="1">
        <v>45147</v>
      </c>
      <c r="C260" t="s">
        <v>1010</v>
      </c>
      <c r="D260" t="s">
        <v>1021</v>
      </c>
      <c r="E260" t="s">
        <v>1022</v>
      </c>
      <c r="F260" t="s">
        <v>1033</v>
      </c>
      <c r="G260">
        <v>5</v>
      </c>
      <c r="H260">
        <v>45269</v>
      </c>
      <c r="I260">
        <v>10</v>
      </c>
      <c r="J260" t="s">
        <v>1038</v>
      </c>
      <c r="K260">
        <v>203710.5</v>
      </c>
    </row>
    <row r="261" spans="1:11" x14ac:dyDescent="0.25">
      <c r="A261" t="s">
        <v>269</v>
      </c>
      <c r="B261" s="1">
        <v>45108</v>
      </c>
      <c r="C261" t="s">
        <v>1011</v>
      </c>
      <c r="D261" t="s">
        <v>1020</v>
      </c>
      <c r="E261" t="s">
        <v>1029</v>
      </c>
      <c r="F261" t="s">
        <v>1032</v>
      </c>
      <c r="G261">
        <v>2</v>
      </c>
      <c r="H261">
        <v>4306</v>
      </c>
      <c r="I261">
        <v>15</v>
      </c>
      <c r="J261" t="s">
        <v>1035</v>
      </c>
      <c r="K261">
        <v>7320.2</v>
      </c>
    </row>
    <row r="262" spans="1:11" x14ac:dyDescent="0.25">
      <c r="A262" t="s">
        <v>270</v>
      </c>
      <c r="B262" s="1">
        <v>45143</v>
      </c>
      <c r="C262" t="s">
        <v>1013</v>
      </c>
      <c r="D262" t="s">
        <v>1014</v>
      </c>
      <c r="E262" t="s">
        <v>1028</v>
      </c>
      <c r="F262" t="s">
        <v>1033</v>
      </c>
      <c r="G262">
        <v>8</v>
      </c>
      <c r="H262">
        <v>7942</v>
      </c>
      <c r="I262">
        <v>20</v>
      </c>
      <c r="J262" t="s">
        <v>1039</v>
      </c>
      <c r="K262">
        <v>50828.800000000003</v>
      </c>
    </row>
    <row r="263" spans="1:11" x14ac:dyDescent="0.25">
      <c r="A263" t="s">
        <v>271</v>
      </c>
      <c r="B263" s="1">
        <v>45137</v>
      </c>
      <c r="C263" t="s">
        <v>1012</v>
      </c>
      <c r="D263" t="s">
        <v>1018</v>
      </c>
      <c r="E263" t="s">
        <v>1031</v>
      </c>
      <c r="F263" t="s">
        <v>1032</v>
      </c>
      <c r="G263">
        <v>10</v>
      </c>
      <c r="H263">
        <v>26139</v>
      </c>
      <c r="I263">
        <v>20</v>
      </c>
      <c r="J263" t="s">
        <v>1037</v>
      </c>
      <c r="K263">
        <v>209112</v>
      </c>
    </row>
    <row r="264" spans="1:11" x14ac:dyDescent="0.25">
      <c r="A264" t="s">
        <v>272</v>
      </c>
      <c r="B264" s="1">
        <v>45166</v>
      </c>
      <c r="C264" t="s">
        <v>1011</v>
      </c>
      <c r="D264" t="s">
        <v>1014</v>
      </c>
      <c r="E264" t="s">
        <v>1029</v>
      </c>
      <c r="F264" t="s">
        <v>1032</v>
      </c>
      <c r="G264">
        <v>8</v>
      </c>
      <c r="H264">
        <v>4525</v>
      </c>
      <c r="I264">
        <v>20</v>
      </c>
      <c r="J264" t="s">
        <v>1037</v>
      </c>
      <c r="K264">
        <v>28960</v>
      </c>
    </row>
    <row r="265" spans="1:11" x14ac:dyDescent="0.25">
      <c r="A265" t="s">
        <v>273</v>
      </c>
      <c r="B265" s="1">
        <v>44954</v>
      </c>
      <c r="C265" t="s">
        <v>1010</v>
      </c>
      <c r="D265" t="s">
        <v>1021</v>
      </c>
      <c r="E265" t="s">
        <v>1023</v>
      </c>
      <c r="F265" t="s">
        <v>1034</v>
      </c>
      <c r="G265">
        <v>5</v>
      </c>
      <c r="H265">
        <v>6643</v>
      </c>
      <c r="I265">
        <v>15</v>
      </c>
      <c r="J265" t="s">
        <v>1036</v>
      </c>
      <c r="K265">
        <v>28232.75</v>
      </c>
    </row>
    <row r="266" spans="1:11" x14ac:dyDescent="0.25">
      <c r="A266" t="s">
        <v>274</v>
      </c>
      <c r="B266" s="1">
        <v>45271</v>
      </c>
      <c r="C266" t="s">
        <v>1013</v>
      </c>
      <c r="D266" t="s">
        <v>1021</v>
      </c>
      <c r="E266" t="s">
        <v>1027</v>
      </c>
      <c r="F266" t="s">
        <v>1033</v>
      </c>
      <c r="G266">
        <v>10</v>
      </c>
      <c r="H266">
        <v>28948</v>
      </c>
      <c r="I266">
        <v>15</v>
      </c>
      <c r="J266" t="s">
        <v>1035</v>
      </c>
      <c r="K266">
        <v>246058</v>
      </c>
    </row>
    <row r="267" spans="1:11" x14ac:dyDescent="0.25">
      <c r="A267" t="s">
        <v>275</v>
      </c>
      <c r="B267" s="1">
        <v>45261</v>
      </c>
      <c r="C267" t="s">
        <v>1010</v>
      </c>
      <c r="D267" t="s">
        <v>1020</v>
      </c>
      <c r="E267" t="s">
        <v>1022</v>
      </c>
      <c r="F267" t="s">
        <v>1033</v>
      </c>
      <c r="G267">
        <v>8</v>
      </c>
      <c r="H267">
        <v>26684</v>
      </c>
      <c r="I267">
        <v>10</v>
      </c>
      <c r="J267" t="s">
        <v>1035</v>
      </c>
      <c r="K267">
        <v>192124.79999999999</v>
      </c>
    </row>
    <row r="268" spans="1:11" x14ac:dyDescent="0.25">
      <c r="A268" t="s">
        <v>276</v>
      </c>
      <c r="B268" s="1">
        <v>45257</v>
      </c>
      <c r="C268" t="s">
        <v>1011</v>
      </c>
      <c r="D268" t="s">
        <v>1020</v>
      </c>
      <c r="E268" t="s">
        <v>1030</v>
      </c>
      <c r="F268" t="s">
        <v>1033</v>
      </c>
      <c r="G268">
        <v>4</v>
      </c>
      <c r="H268">
        <v>12729</v>
      </c>
      <c r="I268">
        <v>20</v>
      </c>
      <c r="J268" t="s">
        <v>1036</v>
      </c>
      <c r="K268">
        <v>40732.800000000003</v>
      </c>
    </row>
    <row r="269" spans="1:11" x14ac:dyDescent="0.25">
      <c r="A269" t="s">
        <v>277</v>
      </c>
      <c r="B269" s="1">
        <v>44977</v>
      </c>
      <c r="C269" t="s">
        <v>1012</v>
      </c>
      <c r="D269" t="s">
        <v>1014</v>
      </c>
      <c r="E269" t="s">
        <v>1023</v>
      </c>
      <c r="F269" t="s">
        <v>1033</v>
      </c>
      <c r="G269">
        <v>6</v>
      </c>
      <c r="H269">
        <v>47181</v>
      </c>
      <c r="I269">
        <v>5</v>
      </c>
      <c r="J269" t="s">
        <v>1036</v>
      </c>
      <c r="K269">
        <v>268931.7</v>
      </c>
    </row>
    <row r="270" spans="1:11" x14ac:dyDescent="0.25">
      <c r="A270" t="s">
        <v>278</v>
      </c>
      <c r="B270" s="1">
        <v>44958</v>
      </c>
      <c r="C270" t="s">
        <v>1011</v>
      </c>
      <c r="D270" t="s">
        <v>1017</v>
      </c>
      <c r="E270" t="s">
        <v>1030</v>
      </c>
      <c r="F270" t="s">
        <v>1032</v>
      </c>
      <c r="G270">
        <v>1</v>
      </c>
      <c r="H270">
        <v>40067</v>
      </c>
      <c r="I270">
        <v>10</v>
      </c>
      <c r="J270" t="s">
        <v>1039</v>
      </c>
      <c r="K270">
        <v>36060.300000000003</v>
      </c>
    </row>
    <row r="271" spans="1:11" x14ac:dyDescent="0.25">
      <c r="A271" t="s">
        <v>279</v>
      </c>
      <c r="B271" s="1">
        <v>45133</v>
      </c>
      <c r="C271" t="s">
        <v>1011</v>
      </c>
      <c r="D271" t="s">
        <v>1014</v>
      </c>
      <c r="E271" t="s">
        <v>1023</v>
      </c>
      <c r="F271" t="s">
        <v>1034</v>
      </c>
      <c r="G271">
        <v>3</v>
      </c>
      <c r="H271">
        <v>39846</v>
      </c>
      <c r="I271">
        <v>5</v>
      </c>
      <c r="J271" t="s">
        <v>1039</v>
      </c>
      <c r="K271">
        <v>113561.1</v>
      </c>
    </row>
    <row r="272" spans="1:11" x14ac:dyDescent="0.25">
      <c r="A272" t="s">
        <v>280</v>
      </c>
      <c r="B272" s="1">
        <v>45100</v>
      </c>
      <c r="C272" t="s">
        <v>1013</v>
      </c>
      <c r="D272" t="s">
        <v>1021</v>
      </c>
      <c r="E272" t="s">
        <v>1029</v>
      </c>
      <c r="F272" t="s">
        <v>1034</v>
      </c>
      <c r="G272">
        <v>1</v>
      </c>
      <c r="H272">
        <v>42252</v>
      </c>
      <c r="I272">
        <v>10</v>
      </c>
      <c r="J272" t="s">
        <v>1038</v>
      </c>
      <c r="K272">
        <v>38026.800000000003</v>
      </c>
    </row>
    <row r="273" spans="1:11" x14ac:dyDescent="0.25">
      <c r="A273" t="s">
        <v>281</v>
      </c>
      <c r="B273" s="1">
        <v>44982</v>
      </c>
      <c r="C273" t="s">
        <v>1010</v>
      </c>
      <c r="D273" t="s">
        <v>1014</v>
      </c>
      <c r="E273" t="s">
        <v>1029</v>
      </c>
      <c r="F273" t="s">
        <v>1033</v>
      </c>
      <c r="G273">
        <v>9</v>
      </c>
      <c r="H273">
        <v>46228</v>
      </c>
      <c r="I273">
        <v>5</v>
      </c>
      <c r="J273" t="s">
        <v>1036</v>
      </c>
      <c r="K273">
        <v>395249.4</v>
      </c>
    </row>
    <row r="274" spans="1:11" x14ac:dyDescent="0.25">
      <c r="A274" t="s">
        <v>282</v>
      </c>
      <c r="B274" s="1">
        <v>45054</v>
      </c>
      <c r="C274" t="s">
        <v>1011</v>
      </c>
      <c r="D274" t="s">
        <v>1018</v>
      </c>
      <c r="E274" t="s">
        <v>1030</v>
      </c>
      <c r="F274" t="s">
        <v>1034</v>
      </c>
      <c r="G274">
        <v>1</v>
      </c>
      <c r="H274">
        <v>46833</v>
      </c>
      <c r="I274">
        <v>15</v>
      </c>
      <c r="J274" t="s">
        <v>1038</v>
      </c>
      <c r="K274">
        <v>39808.050000000003</v>
      </c>
    </row>
    <row r="275" spans="1:11" x14ac:dyDescent="0.25">
      <c r="A275" t="s">
        <v>283</v>
      </c>
      <c r="B275" s="1">
        <v>45025</v>
      </c>
      <c r="C275" t="s">
        <v>1011</v>
      </c>
      <c r="D275" t="s">
        <v>1017</v>
      </c>
      <c r="E275" t="s">
        <v>1027</v>
      </c>
      <c r="F275" t="s">
        <v>1034</v>
      </c>
      <c r="G275">
        <v>3</v>
      </c>
      <c r="H275">
        <v>30218</v>
      </c>
      <c r="I275">
        <v>10</v>
      </c>
      <c r="J275" t="s">
        <v>1035</v>
      </c>
      <c r="K275">
        <v>81588.600000000006</v>
      </c>
    </row>
    <row r="276" spans="1:11" x14ac:dyDescent="0.25">
      <c r="A276" t="s">
        <v>284</v>
      </c>
      <c r="B276" s="1">
        <v>45024</v>
      </c>
      <c r="C276" t="s">
        <v>1012</v>
      </c>
      <c r="D276" t="s">
        <v>1021</v>
      </c>
      <c r="E276" t="s">
        <v>1030</v>
      </c>
      <c r="F276" t="s">
        <v>1032</v>
      </c>
      <c r="G276">
        <v>2</v>
      </c>
      <c r="H276">
        <v>41390</v>
      </c>
      <c r="I276">
        <v>10</v>
      </c>
      <c r="J276" t="s">
        <v>1037</v>
      </c>
      <c r="K276">
        <v>74502</v>
      </c>
    </row>
    <row r="277" spans="1:11" x14ac:dyDescent="0.25">
      <c r="A277" t="s">
        <v>285</v>
      </c>
      <c r="B277" s="1">
        <v>45201</v>
      </c>
      <c r="C277" t="s">
        <v>1012</v>
      </c>
      <c r="D277" t="s">
        <v>1021</v>
      </c>
      <c r="E277" t="s">
        <v>1026</v>
      </c>
      <c r="F277" t="s">
        <v>1032</v>
      </c>
      <c r="G277">
        <v>5</v>
      </c>
      <c r="H277">
        <v>24306</v>
      </c>
      <c r="I277">
        <v>0</v>
      </c>
      <c r="J277" t="s">
        <v>1037</v>
      </c>
      <c r="K277">
        <v>121530</v>
      </c>
    </row>
    <row r="278" spans="1:11" x14ac:dyDescent="0.25">
      <c r="A278" t="s">
        <v>286</v>
      </c>
      <c r="B278" s="1">
        <v>45156</v>
      </c>
      <c r="C278" t="s">
        <v>1010</v>
      </c>
      <c r="D278" t="s">
        <v>1014</v>
      </c>
      <c r="E278" t="s">
        <v>1028</v>
      </c>
      <c r="F278" t="s">
        <v>1034</v>
      </c>
      <c r="G278">
        <v>5</v>
      </c>
      <c r="H278">
        <v>21476</v>
      </c>
      <c r="I278">
        <v>5</v>
      </c>
      <c r="J278" t="s">
        <v>1038</v>
      </c>
      <c r="K278">
        <v>102011</v>
      </c>
    </row>
    <row r="279" spans="1:11" x14ac:dyDescent="0.25">
      <c r="A279" t="s">
        <v>287</v>
      </c>
      <c r="B279" s="1">
        <v>44998</v>
      </c>
      <c r="C279" t="s">
        <v>1010</v>
      </c>
      <c r="D279" t="s">
        <v>1015</v>
      </c>
      <c r="E279" t="s">
        <v>1023</v>
      </c>
      <c r="F279" t="s">
        <v>1033</v>
      </c>
      <c r="G279">
        <v>3</v>
      </c>
      <c r="H279">
        <v>22779</v>
      </c>
      <c r="I279">
        <v>10</v>
      </c>
      <c r="J279" t="s">
        <v>1036</v>
      </c>
      <c r="K279">
        <v>61503.3</v>
      </c>
    </row>
    <row r="280" spans="1:11" x14ac:dyDescent="0.25">
      <c r="A280" t="s">
        <v>288</v>
      </c>
      <c r="B280" s="1">
        <v>45143</v>
      </c>
      <c r="C280" t="s">
        <v>1013</v>
      </c>
      <c r="D280" t="s">
        <v>1019</v>
      </c>
      <c r="E280" t="s">
        <v>1026</v>
      </c>
      <c r="F280" t="s">
        <v>1033</v>
      </c>
      <c r="G280">
        <v>8</v>
      </c>
      <c r="H280">
        <v>13985</v>
      </c>
      <c r="I280">
        <v>10</v>
      </c>
      <c r="J280" t="s">
        <v>1036</v>
      </c>
      <c r="K280">
        <v>100692</v>
      </c>
    </row>
    <row r="281" spans="1:11" x14ac:dyDescent="0.25">
      <c r="A281" t="s">
        <v>289</v>
      </c>
      <c r="B281" s="1">
        <v>45020</v>
      </c>
      <c r="C281" t="s">
        <v>1010</v>
      </c>
      <c r="D281" t="s">
        <v>1021</v>
      </c>
      <c r="E281" t="s">
        <v>1023</v>
      </c>
      <c r="F281" t="s">
        <v>1032</v>
      </c>
      <c r="G281">
        <v>1</v>
      </c>
      <c r="H281">
        <v>47720</v>
      </c>
      <c r="I281">
        <v>15</v>
      </c>
      <c r="J281" t="s">
        <v>1037</v>
      </c>
      <c r="K281">
        <v>40562</v>
      </c>
    </row>
    <row r="282" spans="1:11" x14ac:dyDescent="0.25">
      <c r="A282" t="s">
        <v>290</v>
      </c>
      <c r="B282" s="1">
        <v>45069</v>
      </c>
      <c r="C282" t="s">
        <v>1012</v>
      </c>
      <c r="D282" t="s">
        <v>1016</v>
      </c>
      <c r="E282" t="s">
        <v>1024</v>
      </c>
      <c r="F282" t="s">
        <v>1034</v>
      </c>
      <c r="G282">
        <v>4</v>
      </c>
      <c r="H282">
        <v>44966</v>
      </c>
      <c r="I282">
        <v>5</v>
      </c>
      <c r="J282" t="s">
        <v>1037</v>
      </c>
      <c r="K282">
        <v>170870.8</v>
      </c>
    </row>
    <row r="283" spans="1:11" x14ac:dyDescent="0.25">
      <c r="A283" t="s">
        <v>291</v>
      </c>
      <c r="B283" s="1">
        <v>45163</v>
      </c>
      <c r="C283" t="s">
        <v>1010</v>
      </c>
      <c r="D283" t="s">
        <v>1016</v>
      </c>
      <c r="E283" t="s">
        <v>1027</v>
      </c>
      <c r="F283" t="s">
        <v>1034</v>
      </c>
      <c r="G283">
        <v>2</v>
      </c>
      <c r="H283">
        <v>35962</v>
      </c>
      <c r="I283">
        <v>20</v>
      </c>
      <c r="J283" t="s">
        <v>1038</v>
      </c>
      <c r="K283">
        <v>57539.199999999997</v>
      </c>
    </row>
    <row r="284" spans="1:11" x14ac:dyDescent="0.25">
      <c r="A284" t="s">
        <v>292</v>
      </c>
      <c r="B284" s="1">
        <v>45054</v>
      </c>
      <c r="C284" t="s">
        <v>1011</v>
      </c>
      <c r="D284" t="s">
        <v>1021</v>
      </c>
      <c r="E284" t="s">
        <v>1026</v>
      </c>
      <c r="F284" t="s">
        <v>1034</v>
      </c>
      <c r="G284">
        <v>3</v>
      </c>
      <c r="H284">
        <v>6147</v>
      </c>
      <c r="I284">
        <v>5</v>
      </c>
      <c r="J284" t="s">
        <v>1038</v>
      </c>
      <c r="K284">
        <v>17518.95</v>
      </c>
    </row>
    <row r="285" spans="1:11" x14ac:dyDescent="0.25">
      <c r="A285" t="s">
        <v>293</v>
      </c>
      <c r="B285" s="1">
        <v>44965</v>
      </c>
      <c r="C285" t="s">
        <v>1010</v>
      </c>
      <c r="D285" t="s">
        <v>1019</v>
      </c>
      <c r="E285" t="s">
        <v>1023</v>
      </c>
      <c r="F285" t="s">
        <v>1032</v>
      </c>
      <c r="G285">
        <v>1</v>
      </c>
      <c r="H285">
        <v>31519</v>
      </c>
      <c r="I285">
        <v>20</v>
      </c>
      <c r="J285" t="s">
        <v>1035</v>
      </c>
      <c r="K285">
        <v>25215.200000000001</v>
      </c>
    </row>
    <row r="286" spans="1:11" x14ac:dyDescent="0.25">
      <c r="A286" t="s">
        <v>294</v>
      </c>
      <c r="B286" s="1">
        <v>45153</v>
      </c>
      <c r="C286" t="s">
        <v>1010</v>
      </c>
      <c r="D286" t="s">
        <v>1015</v>
      </c>
      <c r="E286" t="s">
        <v>1025</v>
      </c>
      <c r="F286" t="s">
        <v>1032</v>
      </c>
      <c r="G286">
        <v>8</v>
      </c>
      <c r="H286">
        <v>38210</v>
      </c>
      <c r="I286">
        <v>10</v>
      </c>
      <c r="J286" t="s">
        <v>1037</v>
      </c>
      <c r="K286">
        <v>275112</v>
      </c>
    </row>
    <row r="287" spans="1:11" x14ac:dyDescent="0.25">
      <c r="A287" t="s">
        <v>295</v>
      </c>
      <c r="B287" s="1">
        <v>45208</v>
      </c>
      <c r="C287" t="s">
        <v>1013</v>
      </c>
      <c r="D287" t="s">
        <v>1021</v>
      </c>
      <c r="E287" t="s">
        <v>1023</v>
      </c>
      <c r="F287" t="s">
        <v>1034</v>
      </c>
      <c r="G287">
        <v>4</v>
      </c>
      <c r="H287">
        <v>9637</v>
      </c>
      <c r="I287">
        <v>5</v>
      </c>
      <c r="J287" t="s">
        <v>1036</v>
      </c>
      <c r="K287">
        <v>36620.6</v>
      </c>
    </row>
    <row r="288" spans="1:11" x14ac:dyDescent="0.25">
      <c r="A288" t="s">
        <v>296</v>
      </c>
      <c r="B288" s="1">
        <v>44977</v>
      </c>
      <c r="C288" t="s">
        <v>1011</v>
      </c>
      <c r="D288" t="s">
        <v>1018</v>
      </c>
      <c r="E288" t="s">
        <v>1030</v>
      </c>
      <c r="F288" t="s">
        <v>1033</v>
      </c>
      <c r="G288">
        <v>6</v>
      </c>
      <c r="H288">
        <v>7089</v>
      </c>
      <c r="I288">
        <v>5</v>
      </c>
      <c r="J288" t="s">
        <v>1035</v>
      </c>
      <c r="K288">
        <v>40407.300000000003</v>
      </c>
    </row>
    <row r="289" spans="1:11" x14ac:dyDescent="0.25">
      <c r="A289" t="s">
        <v>297</v>
      </c>
      <c r="B289" s="1">
        <v>44952</v>
      </c>
      <c r="C289" t="s">
        <v>1013</v>
      </c>
      <c r="D289" t="s">
        <v>1019</v>
      </c>
      <c r="E289" t="s">
        <v>1030</v>
      </c>
      <c r="F289" t="s">
        <v>1033</v>
      </c>
      <c r="G289">
        <v>7</v>
      </c>
      <c r="H289">
        <v>46783</v>
      </c>
      <c r="I289">
        <v>5</v>
      </c>
      <c r="J289" t="s">
        <v>1038</v>
      </c>
      <c r="K289">
        <v>311106.95</v>
      </c>
    </row>
    <row r="290" spans="1:11" x14ac:dyDescent="0.25">
      <c r="A290" t="s">
        <v>298</v>
      </c>
      <c r="B290" s="1">
        <v>45260</v>
      </c>
      <c r="C290" t="s">
        <v>1012</v>
      </c>
      <c r="D290" t="s">
        <v>1019</v>
      </c>
      <c r="E290" t="s">
        <v>1024</v>
      </c>
      <c r="F290" t="s">
        <v>1032</v>
      </c>
      <c r="G290">
        <v>5</v>
      </c>
      <c r="H290">
        <v>31688</v>
      </c>
      <c r="I290">
        <v>5</v>
      </c>
      <c r="J290" t="s">
        <v>1038</v>
      </c>
      <c r="K290">
        <v>150518</v>
      </c>
    </row>
    <row r="291" spans="1:11" x14ac:dyDescent="0.25">
      <c r="A291" t="s">
        <v>299</v>
      </c>
      <c r="B291" s="1">
        <v>45203</v>
      </c>
      <c r="C291" t="s">
        <v>1010</v>
      </c>
      <c r="D291" t="s">
        <v>1014</v>
      </c>
      <c r="E291" t="s">
        <v>1031</v>
      </c>
      <c r="F291" t="s">
        <v>1033</v>
      </c>
      <c r="G291">
        <v>8</v>
      </c>
      <c r="H291">
        <v>7374</v>
      </c>
      <c r="I291">
        <v>5</v>
      </c>
      <c r="J291" t="s">
        <v>1035</v>
      </c>
      <c r="K291">
        <v>56042.399999999987</v>
      </c>
    </row>
    <row r="292" spans="1:11" x14ac:dyDescent="0.25">
      <c r="A292" t="s">
        <v>300</v>
      </c>
      <c r="B292" s="1">
        <v>44934</v>
      </c>
      <c r="C292" t="s">
        <v>1010</v>
      </c>
      <c r="D292" t="s">
        <v>1015</v>
      </c>
      <c r="E292" t="s">
        <v>1023</v>
      </c>
      <c r="F292" t="s">
        <v>1033</v>
      </c>
      <c r="G292">
        <v>6</v>
      </c>
      <c r="H292">
        <v>30857</v>
      </c>
      <c r="I292">
        <v>0</v>
      </c>
      <c r="J292" t="s">
        <v>1039</v>
      </c>
      <c r="K292">
        <v>185142</v>
      </c>
    </row>
    <row r="293" spans="1:11" x14ac:dyDescent="0.25">
      <c r="A293" t="s">
        <v>301</v>
      </c>
      <c r="B293" s="1">
        <v>44974</v>
      </c>
      <c r="C293" t="s">
        <v>1012</v>
      </c>
      <c r="D293" t="s">
        <v>1018</v>
      </c>
      <c r="E293" t="s">
        <v>1030</v>
      </c>
      <c r="F293" t="s">
        <v>1034</v>
      </c>
      <c r="G293">
        <v>8</v>
      </c>
      <c r="H293">
        <v>21341</v>
      </c>
      <c r="I293">
        <v>0</v>
      </c>
      <c r="J293" t="s">
        <v>1037</v>
      </c>
      <c r="K293">
        <v>170728</v>
      </c>
    </row>
    <row r="294" spans="1:11" x14ac:dyDescent="0.25">
      <c r="A294" t="s">
        <v>302</v>
      </c>
      <c r="B294" s="1">
        <v>45048</v>
      </c>
      <c r="C294" t="s">
        <v>1013</v>
      </c>
      <c r="D294" t="s">
        <v>1017</v>
      </c>
      <c r="E294" t="s">
        <v>1028</v>
      </c>
      <c r="F294" t="s">
        <v>1034</v>
      </c>
      <c r="G294">
        <v>1</v>
      </c>
      <c r="H294">
        <v>45857</v>
      </c>
      <c r="I294">
        <v>10</v>
      </c>
      <c r="J294" t="s">
        <v>1035</v>
      </c>
      <c r="K294">
        <v>41271.300000000003</v>
      </c>
    </row>
    <row r="295" spans="1:11" x14ac:dyDescent="0.25">
      <c r="A295" t="s">
        <v>303</v>
      </c>
      <c r="B295" s="1">
        <v>45012</v>
      </c>
      <c r="C295" t="s">
        <v>1011</v>
      </c>
      <c r="D295" t="s">
        <v>1014</v>
      </c>
      <c r="E295" t="s">
        <v>1027</v>
      </c>
      <c r="F295" t="s">
        <v>1033</v>
      </c>
      <c r="G295">
        <v>6</v>
      </c>
      <c r="H295">
        <v>43232</v>
      </c>
      <c r="I295">
        <v>20</v>
      </c>
      <c r="J295" t="s">
        <v>1036</v>
      </c>
      <c r="K295">
        <v>207513.60000000001</v>
      </c>
    </row>
    <row r="296" spans="1:11" x14ac:dyDescent="0.25">
      <c r="A296" t="s">
        <v>304</v>
      </c>
      <c r="B296" s="1">
        <v>45135</v>
      </c>
      <c r="C296" t="s">
        <v>1013</v>
      </c>
      <c r="D296" t="s">
        <v>1016</v>
      </c>
      <c r="E296" t="s">
        <v>1023</v>
      </c>
      <c r="F296" t="s">
        <v>1032</v>
      </c>
      <c r="G296">
        <v>2</v>
      </c>
      <c r="H296">
        <v>47544</v>
      </c>
      <c r="I296">
        <v>5</v>
      </c>
      <c r="J296" t="s">
        <v>1035</v>
      </c>
      <c r="K296">
        <v>90333.599999999991</v>
      </c>
    </row>
    <row r="297" spans="1:11" x14ac:dyDescent="0.25">
      <c r="A297" t="s">
        <v>305</v>
      </c>
      <c r="B297" s="1">
        <v>45175</v>
      </c>
      <c r="C297" t="s">
        <v>1013</v>
      </c>
      <c r="D297" t="s">
        <v>1018</v>
      </c>
      <c r="E297" t="s">
        <v>1022</v>
      </c>
      <c r="F297" t="s">
        <v>1034</v>
      </c>
      <c r="G297">
        <v>3</v>
      </c>
      <c r="H297">
        <v>31500</v>
      </c>
      <c r="I297">
        <v>15</v>
      </c>
      <c r="J297" t="s">
        <v>1039</v>
      </c>
      <c r="K297">
        <v>80325</v>
      </c>
    </row>
    <row r="298" spans="1:11" x14ac:dyDescent="0.25">
      <c r="A298" t="s">
        <v>306</v>
      </c>
      <c r="B298" s="1">
        <v>45173</v>
      </c>
      <c r="C298" t="s">
        <v>1011</v>
      </c>
      <c r="D298" t="s">
        <v>1016</v>
      </c>
      <c r="E298" t="s">
        <v>1027</v>
      </c>
      <c r="F298" t="s">
        <v>1033</v>
      </c>
      <c r="G298">
        <v>1</v>
      </c>
      <c r="H298">
        <v>31837</v>
      </c>
      <c r="I298">
        <v>10</v>
      </c>
      <c r="J298" t="s">
        <v>1037</v>
      </c>
      <c r="K298">
        <v>28653.3</v>
      </c>
    </row>
    <row r="299" spans="1:11" x14ac:dyDescent="0.25">
      <c r="A299" t="s">
        <v>307</v>
      </c>
      <c r="B299" s="1">
        <v>45036</v>
      </c>
      <c r="C299" t="s">
        <v>1010</v>
      </c>
      <c r="D299" t="s">
        <v>1018</v>
      </c>
      <c r="E299" t="s">
        <v>1030</v>
      </c>
      <c r="F299" t="s">
        <v>1034</v>
      </c>
      <c r="G299">
        <v>5</v>
      </c>
      <c r="H299">
        <v>16184</v>
      </c>
      <c r="I299">
        <v>10</v>
      </c>
      <c r="J299" t="s">
        <v>1038</v>
      </c>
      <c r="K299">
        <v>72828</v>
      </c>
    </row>
    <row r="300" spans="1:11" x14ac:dyDescent="0.25">
      <c r="A300" t="s">
        <v>308</v>
      </c>
      <c r="B300" s="1">
        <v>45132</v>
      </c>
      <c r="C300" t="s">
        <v>1013</v>
      </c>
      <c r="D300" t="s">
        <v>1018</v>
      </c>
      <c r="E300" t="s">
        <v>1024</v>
      </c>
      <c r="F300" t="s">
        <v>1034</v>
      </c>
      <c r="G300">
        <v>7</v>
      </c>
      <c r="H300">
        <v>15666</v>
      </c>
      <c r="I300">
        <v>5</v>
      </c>
      <c r="J300" t="s">
        <v>1038</v>
      </c>
      <c r="K300">
        <v>104178.9</v>
      </c>
    </row>
    <row r="301" spans="1:11" x14ac:dyDescent="0.25">
      <c r="A301" t="s">
        <v>309</v>
      </c>
      <c r="B301" s="1">
        <v>44957</v>
      </c>
      <c r="C301" t="s">
        <v>1012</v>
      </c>
      <c r="D301" t="s">
        <v>1015</v>
      </c>
      <c r="E301" t="s">
        <v>1025</v>
      </c>
      <c r="F301" t="s">
        <v>1033</v>
      </c>
      <c r="G301">
        <v>2</v>
      </c>
      <c r="H301">
        <v>10418</v>
      </c>
      <c r="I301">
        <v>5</v>
      </c>
      <c r="J301" t="s">
        <v>1038</v>
      </c>
      <c r="K301">
        <v>19794.2</v>
      </c>
    </row>
    <row r="302" spans="1:11" x14ac:dyDescent="0.25">
      <c r="A302" t="s">
        <v>310</v>
      </c>
      <c r="B302" s="1">
        <v>45011</v>
      </c>
      <c r="C302" t="s">
        <v>1011</v>
      </c>
      <c r="D302" t="s">
        <v>1019</v>
      </c>
      <c r="E302" t="s">
        <v>1025</v>
      </c>
      <c r="F302" t="s">
        <v>1033</v>
      </c>
      <c r="G302">
        <v>9</v>
      </c>
      <c r="H302">
        <v>41431</v>
      </c>
      <c r="I302">
        <v>20</v>
      </c>
      <c r="J302" t="s">
        <v>1038</v>
      </c>
      <c r="K302">
        <v>298303.2</v>
      </c>
    </row>
    <row r="303" spans="1:11" x14ac:dyDescent="0.25">
      <c r="A303" t="s">
        <v>311</v>
      </c>
      <c r="B303" s="1">
        <v>45121</v>
      </c>
      <c r="C303" t="s">
        <v>1010</v>
      </c>
      <c r="D303" t="s">
        <v>1018</v>
      </c>
      <c r="E303" t="s">
        <v>1030</v>
      </c>
      <c r="F303" t="s">
        <v>1032</v>
      </c>
      <c r="G303">
        <v>8</v>
      </c>
      <c r="H303">
        <v>17911</v>
      </c>
      <c r="I303">
        <v>0</v>
      </c>
      <c r="J303" t="s">
        <v>1035</v>
      </c>
      <c r="K303">
        <v>143288</v>
      </c>
    </row>
    <row r="304" spans="1:11" x14ac:dyDescent="0.25">
      <c r="A304" t="s">
        <v>312</v>
      </c>
      <c r="B304" s="1">
        <v>44928</v>
      </c>
      <c r="C304" t="s">
        <v>1011</v>
      </c>
      <c r="D304" t="s">
        <v>1015</v>
      </c>
      <c r="E304" t="s">
        <v>1030</v>
      </c>
      <c r="F304" t="s">
        <v>1033</v>
      </c>
      <c r="G304">
        <v>3</v>
      </c>
      <c r="H304">
        <v>24819</v>
      </c>
      <c r="I304">
        <v>10</v>
      </c>
      <c r="J304" t="s">
        <v>1039</v>
      </c>
      <c r="K304">
        <v>67011.3</v>
      </c>
    </row>
    <row r="305" spans="1:11" x14ac:dyDescent="0.25">
      <c r="A305" t="s">
        <v>313</v>
      </c>
      <c r="B305" s="1">
        <v>45126</v>
      </c>
      <c r="C305" t="s">
        <v>1012</v>
      </c>
      <c r="D305" t="s">
        <v>1017</v>
      </c>
      <c r="E305" t="s">
        <v>1029</v>
      </c>
      <c r="F305" t="s">
        <v>1034</v>
      </c>
      <c r="G305">
        <v>4</v>
      </c>
      <c r="H305">
        <v>26695</v>
      </c>
      <c r="I305">
        <v>10</v>
      </c>
      <c r="J305" t="s">
        <v>1039</v>
      </c>
      <c r="K305">
        <v>96102</v>
      </c>
    </row>
    <row r="306" spans="1:11" x14ac:dyDescent="0.25">
      <c r="A306" t="s">
        <v>314</v>
      </c>
      <c r="B306" s="1">
        <v>45062</v>
      </c>
      <c r="C306" t="s">
        <v>1011</v>
      </c>
      <c r="D306" t="s">
        <v>1021</v>
      </c>
      <c r="E306" t="s">
        <v>1027</v>
      </c>
      <c r="F306" t="s">
        <v>1032</v>
      </c>
      <c r="G306">
        <v>5</v>
      </c>
      <c r="H306">
        <v>13016</v>
      </c>
      <c r="I306">
        <v>5</v>
      </c>
      <c r="J306" t="s">
        <v>1038</v>
      </c>
      <c r="K306">
        <v>61826</v>
      </c>
    </row>
    <row r="307" spans="1:11" x14ac:dyDescent="0.25">
      <c r="A307" t="s">
        <v>315</v>
      </c>
      <c r="B307" s="1">
        <v>45159</v>
      </c>
      <c r="C307" t="s">
        <v>1011</v>
      </c>
      <c r="D307" t="s">
        <v>1021</v>
      </c>
      <c r="E307" t="s">
        <v>1024</v>
      </c>
      <c r="F307" t="s">
        <v>1033</v>
      </c>
      <c r="G307">
        <v>7</v>
      </c>
      <c r="H307">
        <v>46849</v>
      </c>
      <c r="I307">
        <v>10</v>
      </c>
      <c r="J307" t="s">
        <v>1036</v>
      </c>
      <c r="K307">
        <v>295148.7</v>
      </c>
    </row>
    <row r="308" spans="1:11" x14ac:dyDescent="0.25">
      <c r="A308" t="s">
        <v>316</v>
      </c>
      <c r="B308" s="1">
        <v>45073</v>
      </c>
      <c r="C308" t="s">
        <v>1013</v>
      </c>
      <c r="D308" t="s">
        <v>1019</v>
      </c>
      <c r="E308" t="s">
        <v>1027</v>
      </c>
      <c r="F308" t="s">
        <v>1034</v>
      </c>
      <c r="G308">
        <v>1</v>
      </c>
      <c r="H308">
        <v>44593</v>
      </c>
      <c r="I308">
        <v>15</v>
      </c>
      <c r="J308" t="s">
        <v>1038</v>
      </c>
      <c r="K308">
        <v>37904.050000000003</v>
      </c>
    </row>
    <row r="309" spans="1:11" x14ac:dyDescent="0.25">
      <c r="A309" t="s">
        <v>317</v>
      </c>
      <c r="B309" s="1">
        <v>45143</v>
      </c>
      <c r="C309" t="s">
        <v>1012</v>
      </c>
      <c r="D309" t="s">
        <v>1015</v>
      </c>
      <c r="E309" t="s">
        <v>1029</v>
      </c>
      <c r="F309" t="s">
        <v>1032</v>
      </c>
      <c r="G309">
        <v>2</v>
      </c>
      <c r="H309">
        <v>22648</v>
      </c>
      <c r="I309">
        <v>20</v>
      </c>
      <c r="J309" t="s">
        <v>1035</v>
      </c>
      <c r="K309">
        <v>36236.800000000003</v>
      </c>
    </row>
    <row r="310" spans="1:11" x14ac:dyDescent="0.25">
      <c r="A310" t="s">
        <v>318</v>
      </c>
      <c r="B310" s="1">
        <v>45283</v>
      </c>
      <c r="C310" t="s">
        <v>1012</v>
      </c>
      <c r="D310" t="s">
        <v>1017</v>
      </c>
      <c r="E310" t="s">
        <v>1030</v>
      </c>
      <c r="F310" t="s">
        <v>1032</v>
      </c>
      <c r="G310">
        <v>4</v>
      </c>
      <c r="H310">
        <v>22283</v>
      </c>
      <c r="I310">
        <v>5</v>
      </c>
      <c r="J310" t="s">
        <v>1039</v>
      </c>
      <c r="K310">
        <v>84675.4</v>
      </c>
    </row>
    <row r="311" spans="1:11" x14ac:dyDescent="0.25">
      <c r="A311" t="s">
        <v>319</v>
      </c>
      <c r="B311" s="1">
        <v>45211</v>
      </c>
      <c r="C311" t="s">
        <v>1012</v>
      </c>
      <c r="D311" t="s">
        <v>1014</v>
      </c>
      <c r="E311" t="s">
        <v>1027</v>
      </c>
      <c r="F311" t="s">
        <v>1032</v>
      </c>
      <c r="G311">
        <v>7</v>
      </c>
      <c r="H311">
        <v>30706</v>
      </c>
      <c r="I311">
        <v>20</v>
      </c>
      <c r="J311" t="s">
        <v>1037</v>
      </c>
      <c r="K311">
        <v>171953.6</v>
      </c>
    </row>
    <row r="312" spans="1:11" x14ac:dyDescent="0.25">
      <c r="A312" t="s">
        <v>320</v>
      </c>
      <c r="B312" s="1">
        <v>45265</v>
      </c>
      <c r="C312" t="s">
        <v>1011</v>
      </c>
      <c r="D312" t="s">
        <v>1018</v>
      </c>
      <c r="E312" t="s">
        <v>1023</v>
      </c>
      <c r="F312" t="s">
        <v>1034</v>
      </c>
      <c r="G312">
        <v>8</v>
      </c>
      <c r="H312">
        <v>32949</v>
      </c>
      <c r="I312">
        <v>10</v>
      </c>
      <c r="J312" t="s">
        <v>1038</v>
      </c>
      <c r="K312">
        <v>237232.8</v>
      </c>
    </row>
    <row r="313" spans="1:11" x14ac:dyDescent="0.25">
      <c r="A313" t="s">
        <v>321</v>
      </c>
      <c r="B313" s="1">
        <v>45176</v>
      </c>
      <c r="C313" t="s">
        <v>1012</v>
      </c>
      <c r="D313" t="s">
        <v>1018</v>
      </c>
      <c r="E313" t="s">
        <v>1027</v>
      </c>
      <c r="F313" t="s">
        <v>1034</v>
      </c>
      <c r="G313">
        <v>4</v>
      </c>
      <c r="H313">
        <v>2983</v>
      </c>
      <c r="I313">
        <v>0</v>
      </c>
      <c r="J313" t="s">
        <v>1038</v>
      </c>
      <c r="K313">
        <v>11932</v>
      </c>
    </row>
    <row r="314" spans="1:11" x14ac:dyDescent="0.25">
      <c r="A314" t="s">
        <v>322</v>
      </c>
      <c r="B314" s="1">
        <v>45006</v>
      </c>
      <c r="C314" t="s">
        <v>1012</v>
      </c>
      <c r="D314" t="s">
        <v>1015</v>
      </c>
      <c r="E314" t="s">
        <v>1022</v>
      </c>
      <c r="F314" t="s">
        <v>1032</v>
      </c>
      <c r="G314">
        <v>1</v>
      </c>
      <c r="H314">
        <v>5283</v>
      </c>
      <c r="I314">
        <v>0</v>
      </c>
      <c r="J314" t="s">
        <v>1036</v>
      </c>
      <c r="K314">
        <v>5283</v>
      </c>
    </row>
    <row r="315" spans="1:11" x14ac:dyDescent="0.25">
      <c r="A315" t="s">
        <v>323</v>
      </c>
      <c r="B315" s="1">
        <v>45024</v>
      </c>
      <c r="C315" t="s">
        <v>1012</v>
      </c>
      <c r="D315" t="s">
        <v>1018</v>
      </c>
      <c r="E315" t="s">
        <v>1027</v>
      </c>
      <c r="F315" t="s">
        <v>1034</v>
      </c>
      <c r="G315">
        <v>4</v>
      </c>
      <c r="H315">
        <v>32151</v>
      </c>
      <c r="I315">
        <v>15</v>
      </c>
      <c r="J315" t="s">
        <v>1036</v>
      </c>
      <c r="K315">
        <v>109313.4</v>
      </c>
    </row>
    <row r="316" spans="1:11" x14ac:dyDescent="0.25">
      <c r="A316" t="s">
        <v>324</v>
      </c>
      <c r="B316" s="1">
        <v>45078</v>
      </c>
      <c r="C316" t="s">
        <v>1013</v>
      </c>
      <c r="D316" t="s">
        <v>1021</v>
      </c>
      <c r="E316" t="s">
        <v>1026</v>
      </c>
      <c r="F316" t="s">
        <v>1032</v>
      </c>
      <c r="G316">
        <v>8</v>
      </c>
      <c r="H316">
        <v>8398</v>
      </c>
      <c r="I316">
        <v>15</v>
      </c>
      <c r="J316" t="s">
        <v>1039</v>
      </c>
      <c r="K316">
        <v>57106.400000000001</v>
      </c>
    </row>
    <row r="317" spans="1:11" x14ac:dyDescent="0.25">
      <c r="A317" t="s">
        <v>325</v>
      </c>
      <c r="B317" s="1">
        <v>45038</v>
      </c>
      <c r="C317" t="s">
        <v>1012</v>
      </c>
      <c r="D317" t="s">
        <v>1019</v>
      </c>
      <c r="E317" t="s">
        <v>1031</v>
      </c>
      <c r="F317" t="s">
        <v>1032</v>
      </c>
      <c r="G317">
        <v>2</v>
      </c>
      <c r="H317">
        <v>24032</v>
      </c>
      <c r="I317">
        <v>5</v>
      </c>
      <c r="J317" t="s">
        <v>1035</v>
      </c>
      <c r="K317">
        <v>45660.800000000003</v>
      </c>
    </row>
    <row r="318" spans="1:11" x14ac:dyDescent="0.25">
      <c r="A318" t="s">
        <v>326</v>
      </c>
      <c r="B318" s="1">
        <v>44956</v>
      </c>
      <c r="C318" t="s">
        <v>1011</v>
      </c>
      <c r="D318" t="s">
        <v>1021</v>
      </c>
      <c r="E318" t="s">
        <v>1030</v>
      </c>
      <c r="F318" t="s">
        <v>1034</v>
      </c>
      <c r="G318">
        <v>9</v>
      </c>
      <c r="H318">
        <v>32368</v>
      </c>
      <c r="I318">
        <v>15</v>
      </c>
      <c r="J318" t="s">
        <v>1038</v>
      </c>
      <c r="K318">
        <v>247615.2</v>
      </c>
    </row>
    <row r="319" spans="1:11" x14ac:dyDescent="0.25">
      <c r="A319" t="s">
        <v>327</v>
      </c>
      <c r="B319" s="1">
        <v>45223</v>
      </c>
      <c r="C319" t="s">
        <v>1013</v>
      </c>
      <c r="D319" t="s">
        <v>1016</v>
      </c>
      <c r="E319" t="s">
        <v>1023</v>
      </c>
      <c r="F319" t="s">
        <v>1034</v>
      </c>
      <c r="G319">
        <v>4</v>
      </c>
      <c r="H319">
        <v>31227</v>
      </c>
      <c r="I319">
        <v>10</v>
      </c>
      <c r="J319" t="s">
        <v>1037</v>
      </c>
      <c r="K319">
        <v>112417.2</v>
      </c>
    </row>
    <row r="320" spans="1:11" x14ac:dyDescent="0.25">
      <c r="A320" t="s">
        <v>328</v>
      </c>
      <c r="B320" s="1">
        <v>45204</v>
      </c>
      <c r="C320" t="s">
        <v>1012</v>
      </c>
      <c r="D320" t="s">
        <v>1020</v>
      </c>
      <c r="E320" t="s">
        <v>1026</v>
      </c>
      <c r="F320" t="s">
        <v>1032</v>
      </c>
      <c r="G320">
        <v>8</v>
      </c>
      <c r="H320">
        <v>12193</v>
      </c>
      <c r="I320">
        <v>5</v>
      </c>
      <c r="J320" t="s">
        <v>1037</v>
      </c>
      <c r="K320">
        <v>92666.8</v>
      </c>
    </row>
    <row r="321" spans="1:11" x14ac:dyDescent="0.25">
      <c r="A321" t="s">
        <v>329</v>
      </c>
      <c r="B321" s="1">
        <v>44958</v>
      </c>
      <c r="C321" t="s">
        <v>1012</v>
      </c>
      <c r="D321" t="s">
        <v>1017</v>
      </c>
      <c r="E321" t="s">
        <v>1022</v>
      </c>
      <c r="F321" t="s">
        <v>1034</v>
      </c>
      <c r="G321">
        <v>7</v>
      </c>
      <c r="H321">
        <v>19498</v>
      </c>
      <c r="I321">
        <v>0</v>
      </c>
      <c r="J321" t="s">
        <v>1038</v>
      </c>
      <c r="K321">
        <v>136486</v>
      </c>
    </row>
    <row r="322" spans="1:11" x14ac:dyDescent="0.25">
      <c r="A322" t="s">
        <v>330</v>
      </c>
      <c r="B322" s="1">
        <v>45087</v>
      </c>
      <c r="C322" t="s">
        <v>1013</v>
      </c>
      <c r="D322" t="s">
        <v>1016</v>
      </c>
      <c r="E322" t="s">
        <v>1023</v>
      </c>
      <c r="F322" t="s">
        <v>1033</v>
      </c>
      <c r="G322">
        <v>5</v>
      </c>
      <c r="H322">
        <v>23846</v>
      </c>
      <c r="I322">
        <v>20</v>
      </c>
      <c r="J322" t="s">
        <v>1039</v>
      </c>
      <c r="K322">
        <v>95384</v>
      </c>
    </row>
    <row r="323" spans="1:11" x14ac:dyDescent="0.25">
      <c r="A323" t="s">
        <v>331</v>
      </c>
      <c r="B323" s="1">
        <v>44956</v>
      </c>
      <c r="C323" t="s">
        <v>1012</v>
      </c>
      <c r="D323" t="s">
        <v>1020</v>
      </c>
      <c r="E323" t="s">
        <v>1023</v>
      </c>
      <c r="F323" t="s">
        <v>1032</v>
      </c>
      <c r="G323">
        <v>6</v>
      </c>
      <c r="H323">
        <v>40612</v>
      </c>
      <c r="I323">
        <v>20</v>
      </c>
      <c r="J323" t="s">
        <v>1039</v>
      </c>
      <c r="K323">
        <v>194937.60000000001</v>
      </c>
    </row>
    <row r="324" spans="1:11" x14ac:dyDescent="0.25">
      <c r="A324" t="s">
        <v>332</v>
      </c>
      <c r="B324" s="1">
        <v>44952</v>
      </c>
      <c r="C324" t="s">
        <v>1011</v>
      </c>
      <c r="D324" t="s">
        <v>1021</v>
      </c>
      <c r="E324" t="s">
        <v>1030</v>
      </c>
      <c r="F324" t="s">
        <v>1032</v>
      </c>
      <c r="G324">
        <v>3</v>
      </c>
      <c r="H324">
        <v>38662</v>
      </c>
      <c r="I324">
        <v>10</v>
      </c>
      <c r="J324" t="s">
        <v>1036</v>
      </c>
      <c r="K324">
        <v>104387.4</v>
      </c>
    </row>
    <row r="325" spans="1:11" x14ac:dyDescent="0.25">
      <c r="A325" t="s">
        <v>333</v>
      </c>
      <c r="B325" s="1">
        <v>45226</v>
      </c>
      <c r="C325" t="s">
        <v>1011</v>
      </c>
      <c r="D325" t="s">
        <v>1014</v>
      </c>
      <c r="E325" t="s">
        <v>1026</v>
      </c>
      <c r="F325" t="s">
        <v>1034</v>
      </c>
      <c r="G325">
        <v>1</v>
      </c>
      <c r="H325">
        <v>9348</v>
      </c>
      <c r="I325">
        <v>10</v>
      </c>
      <c r="J325" t="s">
        <v>1035</v>
      </c>
      <c r="K325">
        <v>8413.2000000000007</v>
      </c>
    </row>
    <row r="326" spans="1:11" x14ac:dyDescent="0.25">
      <c r="A326" t="s">
        <v>334</v>
      </c>
      <c r="B326" s="1">
        <v>45171</v>
      </c>
      <c r="C326" t="s">
        <v>1012</v>
      </c>
      <c r="D326" t="s">
        <v>1019</v>
      </c>
      <c r="E326" t="s">
        <v>1023</v>
      </c>
      <c r="F326" t="s">
        <v>1034</v>
      </c>
      <c r="G326">
        <v>9</v>
      </c>
      <c r="H326">
        <v>34288</v>
      </c>
      <c r="I326">
        <v>15</v>
      </c>
      <c r="J326" t="s">
        <v>1038</v>
      </c>
      <c r="K326">
        <v>262303.2</v>
      </c>
    </row>
    <row r="327" spans="1:11" x14ac:dyDescent="0.25">
      <c r="A327" t="s">
        <v>335</v>
      </c>
      <c r="B327" s="1">
        <v>45184</v>
      </c>
      <c r="C327" t="s">
        <v>1011</v>
      </c>
      <c r="D327" t="s">
        <v>1018</v>
      </c>
      <c r="E327" t="s">
        <v>1031</v>
      </c>
      <c r="F327" t="s">
        <v>1034</v>
      </c>
      <c r="G327">
        <v>9</v>
      </c>
      <c r="H327">
        <v>7745</v>
      </c>
      <c r="I327">
        <v>10</v>
      </c>
      <c r="J327" t="s">
        <v>1038</v>
      </c>
      <c r="K327">
        <v>62734.5</v>
      </c>
    </row>
    <row r="328" spans="1:11" x14ac:dyDescent="0.25">
      <c r="A328" t="s">
        <v>336</v>
      </c>
      <c r="B328" s="1">
        <v>45198</v>
      </c>
      <c r="C328" t="s">
        <v>1013</v>
      </c>
      <c r="D328" t="s">
        <v>1014</v>
      </c>
      <c r="E328" t="s">
        <v>1029</v>
      </c>
      <c r="F328" t="s">
        <v>1033</v>
      </c>
      <c r="G328">
        <v>2</v>
      </c>
      <c r="H328">
        <v>27587</v>
      </c>
      <c r="I328">
        <v>20</v>
      </c>
      <c r="J328" t="s">
        <v>1036</v>
      </c>
      <c r="K328">
        <v>44139.199999999997</v>
      </c>
    </row>
    <row r="329" spans="1:11" x14ac:dyDescent="0.25">
      <c r="A329" t="s">
        <v>337</v>
      </c>
      <c r="B329" s="1">
        <v>45007</v>
      </c>
      <c r="C329" t="s">
        <v>1012</v>
      </c>
      <c r="D329" t="s">
        <v>1020</v>
      </c>
      <c r="E329" t="s">
        <v>1025</v>
      </c>
      <c r="F329" t="s">
        <v>1034</v>
      </c>
      <c r="G329">
        <v>5</v>
      </c>
      <c r="H329">
        <v>47810</v>
      </c>
      <c r="I329">
        <v>5</v>
      </c>
      <c r="J329" t="s">
        <v>1038</v>
      </c>
      <c r="K329">
        <v>227097.5</v>
      </c>
    </row>
    <row r="330" spans="1:11" x14ac:dyDescent="0.25">
      <c r="A330" t="s">
        <v>338</v>
      </c>
      <c r="B330" s="1">
        <v>44956</v>
      </c>
      <c r="C330" t="s">
        <v>1013</v>
      </c>
      <c r="D330" t="s">
        <v>1021</v>
      </c>
      <c r="E330" t="s">
        <v>1022</v>
      </c>
      <c r="F330" t="s">
        <v>1032</v>
      </c>
      <c r="G330">
        <v>8</v>
      </c>
      <c r="H330">
        <v>8011</v>
      </c>
      <c r="I330">
        <v>20</v>
      </c>
      <c r="J330" t="s">
        <v>1035</v>
      </c>
      <c r="K330">
        <v>51270.400000000001</v>
      </c>
    </row>
    <row r="331" spans="1:11" x14ac:dyDescent="0.25">
      <c r="A331" t="s">
        <v>339</v>
      </c>
      <c r="B331" s="1">
        <v>45187</v>
      </c>
      <c r="C331" t="s">
        <v>1011</v>
      </c>
      <c r="D331" t="s">
        <v>1021</v>
      </c>
      <c r="E331" t="s">
        <v>1022</v>
      </c>
      <c r="F331" t="s">
        <v>1034</v>
      </c>
      <c r="G331">
        <v>5</v>
      </c>
      <c r="H331">
        <v>22356</v>
      </c>
      <c r="I331">
        <v>15</v>
      </c>
      <c r="J331" t="s">
        <v>1037</v>
      </c>
      <c r="K331">
        <v>95013</v>
      </c>
    </row>
    <row r="332" spans="1:11" x14ac:dyDescent="0.25">
      <c r="A332" t="s">
        <v>340</v>
      </c>
      <c r="B332" s="1">
        <v>44968</v>
      </c>
      <c r="C332" t="s">
        <v>1012</v>
      </c>
      <c r="D332" t="s">
        <v>1017</v>
      </c>
      <c r="E332" t="s">
        <v>1026</v>
      </c>
      <c r="F332" t="s">
        <v>1034</v>
      </c>
      <c r="G332">
        <v>4</v>
      </c>
      <c r="H332">
        <v>37447</v>
      </c>
      <c r="I332">
        <v>10</v>
      </c>
      <c r="J332" t="s">
        <v>1037</v>
      </c>
      <c r="K332">
        <v>134809.20000000001</v>
      </c>
    </row>
    <row r="333" spans="1:11" x14ac:dyDescent="0.25">
      <c r="A333" t="s">
        <v>341</v>
      </c>
      <c r="B333" s="1">
        <v>45022</v>
      </c>
      <c r="C333" t="s">
        <v>1013</v>
      </c>
      <c r="D333" t="s">
        <v>1021</v>
      </c>
      <c r="E333" t="s">
        <v>1023</v>
      </c>
      <c r="F333" t="s">
        <v>1032</v>
      </c>
      <c r="G333">
        <v>6</v>
      </c>
      <c r="H333">
        <v>43562</v>
      </c>
      <c r="I333">
        <v>0</v>
      </c>
      <c r="J333" t="s">
        <v>1035</v>
      </c>
      <c r="K333">
        <v>261372</v>
      </c>
    </row>
    <row r="334" spans="1:11" x14ac:dyDescent="0.25">
      <c r="A334" t="s">
        <v>342</v>
      </c>
      <c r="B334" s="1">
        <v>44962</v>
      </c>
      <c r="C334" t="s">
        <v>1011</v>
      </c>
      <c r="D334" t="s">
        <v>1016</v>
      </c>
      <c r="E334" t="s">
        <v>1025</v>
      </c>
      <c r="F334" t="s">
        <v>1032</v>
      </c>
      <c r="G334">
        <v>1</v>
      </c>
      <c r="H334">
        <v>5648</v>
      </c>
      <c r="I334">
        <v>15</v>
      </c>
      <c r="J334" t="s">
        <v>1037</v>
      </c>
      <c r="K334">
        <v>4800.8</v>
      </c>
    </row>
    <row r="335" spans="1:11" x14ac:dyDescent="0.25">
      <c r="A335" t="s">
        <v>343</v>
      </c>
      <c r="B335" s="1">
        <v>45231</v>
      </c>
      <c r="C335" t="s">
        <v>1012</v>
      </c>
      <c r="D335" t="s">
        <v>1019</v>
      </c>
      <c r="E335" t="s">
        <v>1026</v>
      </c>
      <c r="F335" t="s">
        <v>1033</v>
      </c>
      <c r="G335">
        <v>4</v>
      </c>
      <c r="H335">
        <v>20799</v>
      </c>
      <c r="I335">
        <v>0</v>
      </c>
      <c r="J335" t="s">
        <v>1039</v>
      </c>
      <c r="K335">
        <v>83196</v>
      </c>
    </row>
    <row r="336" spans="1:11" x14ac:dyDescent="0.25">
      <c r="A336" t="s">
        <v>344</v>
      </c>
      <c r="B336" s="1">
        <v>44961</v>
      </c>
      <c r="C336" t="s">
        <v>1010</v>
      </c>
      <c r="D336" t="s">
        <v>1014</v>
      </c>
      <c r="E336" t="s">
        <v>1029</v>
      </c>
      <c r="F336" t="s">
        <v>1034</v>
      </c>
      <c r="G336">
        <v>2</v>
      </c>
      <c r="H336">
        <v>35914</v>
      </c>
      <c r="I336">
        <v>5</v>
      </c>
      <c r="J336" t="s">
        <v>1038</v>
      </c>
      <c r="K336">
        <v>68236.599999999991</v>
      </c>
    </row>
    <row r="337" spans="1:11" x14ac:dyDescent="0.25">
      <c r="A337" t="s">
        <v>345</v>
      </c>
      <c r="B337" s="1">
        <v>45272</v>
      </c>
      <c r="C337" t="s">
        <v>1011</v>
      </c>
      <c r="D337" t="s">
        <v>1021</v>
      </c>
      <c r="E337" t="s">
        <v>1029</v>
      </c>
      <c r="F337" t="s">
        <v>1033</v>
      </c>
      <c r="G337">
        <v>4</v>
      </c>
      <c r="H337">
        <v>31210</v>
      </c>
      <c r="I337">
        <v>20</v>
      </c>
      <c r="J337" t="s">
        <v>1035</v>
      </c>
      <c r="K337">
        <v>99872</v>
      </c>
    </row>
    <row r="338" spans="1:11" x14ac:dyDescent="0.25">
      <c r="A338" t="s">
        <v>346</v>
      </c>
      <c r="B338" s="1">
        <v>45047</v>
      </c>
      <c r="C338" t="s">
        <v>1011</v>
      </c>
      <c r="D338" t="s">
        <v>1021</v>
      </c>
      <c r="E338" t="s">
        <v>1024</v>
      </c>
      <c r="F338" t="s">
        <v>1032</v>
      </c>
      <c r="G338">
        <v>7</v>
      </c>
      <c r="H338">
        <v>27267</v>
      </c>
      <c r="I338">
        <v>0</v>
      </c>
      <c r="J338" t="s">
        <v>1039</v>
      </c>
      <c r="K338">
        <v>190869</v>
      </c>
    </row>
    <row r="339" spans="1:11" x14ac:dyDescent="0.25">
      <c r="A339" t="s">
        <v>347</v>
      </c>
      <c r="B339" s="1">
        <v>45133</v>
      </c>
      <c r="C339" t="s">
        <v>1010</v>
      </c>
      <c r="D339" t="s">
        <v>1020</v>
      </c>
      <c r="E339" t="s">
        <v>1031</v>
      </c>
      <c r="F339" t="s">
        <v>1032</v>
      </c>
      <c r="G339">
        <v>6</v>
      </c>
      <c r="H339">
        <v>39701</v>
      </c>
      <c r="I339">
        <v>10</v>
      </c>
      <c r="J339" t="s">
        <v>1036</v>
      </c>
      <c r="K339">
        <v>214385.4</v>
      </c>
    </row>
    <row r="340" spans="1:11" x14ac:dyDescent="0.25">
      <c r="A340" t="s">
        <v>348</v>
      </c>
      <c r="B340" s="1">
        <v>44988</v>
      </c>
      <c r="C340" t="s">
        <v>1010</v>
      </c>
      <c r="D340" t="s">
        <v>1017</v>
      </c>
      <c r="E340" t="s">
        <v>1024</v>
      </c>
      <c r="F340" t="s">
        <v>1032</v>
      </c>
      <c r="G340">
        <v>1</v>
      </c>
      <c r="H340">
        <v>28095</v>
      </c>
      <c r="I340">
        <v>0</v>
      </c>
      <c r="J340" t="s">
        <v>1039</v>
      </c>
      <c r="K340">
        <v>28095</v>
      </c>
    </row>
    <row r="341" spans="1:11" x14ac:dyDescent="0.25">
      <c r="A341" t="s">
        <v>349</v>
      </c>
      <c r="B341" s="1">
        <v>45218</v>
      </c>
      <c r="C341" t="s">
        <v>1013</v>
      </c>
      <c r="D341" t="s">
        <v>1021</v>
      </c>
      <c r="E341" t="s">
        <v>1030</v>
      </c>
      <c r="F341" t="s">
        <v>1032</v>
      </c>
      <c r="G341">
        <v>3</v>
      </c>
      <c r="H341">
        <v>16635</v>
      </c>
      <c r="I341">
        <v>15</v>
      </c>
      <c r="J341" t="s">
        <v>1036</v>
      </c>
      <c r="K341">
        <v>42419.25</v>
      </c>
    </row>
    <row r="342" spans="1:11" x14ac:dyDescent="0.25">
      <c r="A342" t="s">
        <v>350</v>
      </c>
      <c r="B342" s="1">
        <v>45053</v>
      </c>
      <c r="C342" t="s">
        <v>1011</v>
      </c>
      <c r="D342" t="s">
        <v>1021</v>
      </c>
      <c r="E342" t="s">
        <v>1024</v>
      </c>
      <c r="F342" t="s">
        <v>1032</v>
      </c>
      <c r="G342">
        <v>5</v>
      </c>
      <c r="H342">
        <v>41689</v>
      </c>
      <c r="I342">
        <v>20</v>
      </c>
      <c r="J342" t="s">
        <v>1036</v>
      </c>
      <c r="K342">
        <v>166756</v>
      </c>
    </row>
    <row r="343" spans="1:11" x14ac:dyDescent="0.25">
      <c r="A343" t="s">
        <v>351</v>
      </c>
      <c r="B343" s="1">
        <v>45223</v>
      </c>
      <c r="C343" t="s">
        <v>1010</v>
      </c>
      <c r="D343" t="s">
        <v>1018</v>
      </c>
      <c r="E343" t="s">
        <v>1031</v>
      </c>
      <c r="F343" t="s">
        <v>1033</v>
      </c>
      <c r="G343">
        <v>10</v>
      </c>
      <c r="H343">
        <v>16970</v>
      </c>
      <c r="I343">
        <v>5</v>
      </c>
      <c r="J343" t="s">
        <v>1039</v>
      </c>
      <c r="K343">
        <v>161215</v>
      </c>
    </row>
    <row r="344" spans="1:11" x14ac:dyDescent="0.25">
      <c r="A344" t="s">
        <v>352</v>
      </c>
      <c r="B344" s="1">
        <v>45231</v>
      </c>
      <c r="C344" t="s">
        <v>1012</v>
      </c>
      <c r="D344" t="s">
        <v>1021</v>
      </c>
      <c r="E344" t="s">
        <v>1024</v>
      </c>
      <c r="F344" t="s">
        <v>1034</v>
      </c>
      <c r="G344">
        <v>2</v>
      </c>
      <c r="H344">
        <v>36910</v>
      </c>
      <c r="I344">
        <v>15</v>
      </c>
      <c r="J344" t="s">
        <v>1036</v>
      </c>
      <c r="K344">
        <v>62747</v>
      </c>
    </row>
    <row r="345" spans="1:11" x14ac:dyDescent="0.25">
      <c r="A345" t="s">
        <v>353</v>
      </c>
      <c r="B345" s="1">
        <v>44947</v>
      </c>
      <c r="C345" t="s">
        <v>1011</v>
      </c>
      <c r="D345" t="s">
        <v>1016</v>
      </c>
      <c r="E345" t="s">
        <v>1023</v>
      </c>
      <c r="F345" t="s">
        <v>1032</v>
      </c>
      <c r="G345">
        <v>7</v>
      </c>
      <c r="H345">
        <v>11421</v>
      </c>
      <c r="I345">
        <v>10</v>
      </c>
      <c r="J345" t="s">
        <v>1039</v>
      </c>
      <c r="K345">
        <v>71952.3</v>
      </c>
    </row>
    <row r="346" spans="1:11" x14ac:dyDescent="0.25">
      <c r="A346" t="s">
        <v>354</v>
      </c>
      <c r="B346" s="1">
        <v>45244</v>
      </c>
      <c r="C346" t="s">
        <v>1013</v>
      </c>
      <c r="D346" t="s">
        <v>1019</v>
      </c>
      <c r="E346" t="s">
        <v>1028</v>
      </c>
      <c r="F346" t="s">
        <v>1034</v>
      </c>
      <c r="G346">
        <v>4</v>
      </c>
      <c r="H346">
        <v>32612</v>
      </c>
      <c r="I346">
        <v>0</v>
      </c>
      <c r="J346" t="s">
        <v>1038</v>
      </c>
      <c r="K346">
        <v>130448</v>
      </c>
    </row>
    <row r="347" spans="1:11" x14ac:dyDescent="0.25">
      <c r="A347" t="s">
        <v>355</v>
      </c>
      <c r="B347" s="1">
        <v>44968</v>
      </c>
      <c r="C347" t="s">
        <v>1010</v>
      </c>
      <c r="D347" t="s">
        <v>1018</v>
      </c>
      <c r="E347" t="s">
        <v>1024</v>
      </c>
      <c r="F347" t="s">
        <v>1032</v>
      </c>
      <c r="G347">
        <v>1</v>
      </c>
      <c r="H347">
        <v>26153</v>
      </c>
      <c r="I347">
        <v>10</v>
      </c>
      <c r="J347" t="s">
        <v>1038</v>
      </c>
      <c r="K347">
        <v>23537.7</v>
      </c>
    </row>
    <row r="348" spans="1:11" x14ac:dyDescent="0.25">
      <c r="A348" t="s">
        <v>356</v>
      </c>
      <c r="B348" s="1">
        <v>45141</v>
      </c>
      <c r="C348" t="s">
        <v>1011</v>
      </c>
      <c r="D348" t="s">
        <v>1017</v>
      </c>
      <c r="E348" t="s">
        <v>1026</v>
      </c>
      <c r="F348" t="s">
        <v>1033</v>
      </c>
      <c r="G348">
        <v>1</v>
      </c>
      <c r="H348">
        <v>5329</v>
      </c>
      <c r="I348">
        <v>0</v>
      </c>
      <c r="J348" t="s">
        <v>1036</v>
      </c>
      <c r="K348">
        <v>5329</v>
      </c>
    </row>
    <row r="349" spans="1:11" x14ac:dyDescent="0.25">
      <c r="A349" t="s">
        <v>357</v>
      </c>
      <c r="B349" s="1">
        <v>45263</v>
      </c>
      <c r="C349" t="s">
        <v>1011</v>
      </c>
      <c r="D349" t="s">
        <v>1016</v>
      </c>
      <c r="E349" t="s">
        <v>1031</v>
      </c>
      <c r="F349" t="s">
        <v>1033</v>
      </c>
      <c r="G349">
        <v>10</v>
      </c>
      <c r="H349">
        <v>23329</v>
      </c>
      <c r="I349">
        <v>20</v>
      </c>
      <c r="J349" t="s">
        <v>1038</v>
      </c>
      <c r="K349">
        <v>186632</v>
      </c>
    </row>
    <row r="350" spans="1:11" x14ac:dyDescent="0.25">
      <c r="A350" t="s">
        <v>358</v>
      </c>
      <c r="B350" s="1">
        <v>45225</v>
      </c>
      <c r="C350" t="s">
        <v>1010</v>
      </c>
      <c r="D350" t="s">
        <v>1019</v>
      </c>
      <c r="E350" t="s">
        <v>1027</v>
      </c>
      <c r="F350" t="s">
        <v>1033</v>
      </c>
      <c r="G350">
        <v>8</v>
      </c>
      <c r="H350">
        <v>14647</v>
      </c>
      <c r="I350">
        <v>5</v>
      </c>
      <c r="J350" t="s">
        <v>1039</v>
      </c>
      <c r="K350">
        <v>111317.2</v>
      </c>
    </row>
    <row r="351" spans="1:11" x14ac:dyDescent="0.25">
      <c r="A351" t="s">
        <v>359</v>
      </c>
      <c r="B351" s="1">
        <v>45216</v>
      </c>
      <c r="C351" t="s">
        <v>1010</v>
      </c>
      <c r="D351" t="s">
        <v>1019</v>
      </c>
      <c r="E351" t="s">
        <v>1022</v>
      </c>
      <c r="F351" t="s">
        <v>1033</v>
      </c>
      <c r="G351">
        <v>10</v>
      </c>
      <c r="H351">
        <v>46485</v>
      </c>
      <c r="I351">
        <v>20</v>
      </c>
      <c r="J351" t="s">
        <v>1035</v>
      </c>
      <c r="K351">
        <v>371880</v>
      </c>
    </row>
    <row r="352" spans="1:11" x14ac:dyDescent="0.25">
      <c r="A352" t="s">
        <v>360</v>
      </c>
      <c r="B352" s="1">
        <v>45194</v>
      </c>
      <c r="C352" t="s">
        <v>1010</v>
      </c>
      <c r="D352" t="s">
        <v>1016</v>
      </c>
      <c r="E352" t="s">
        <v>1030</v>
      </c>
      <c r="F352" t="s">
        <v>1034</v>
      </c>
      <c r="G352">
        <v>3</v>
      </c>
      <c r="H352">
        <v>39729</v>
      </c>
      <c r="I352">
        <v>20</v>
      </c>
      <c r="J352" t="s">
        <v>1035</v>
      </c>
      <c r="K352">
        <v>95349.6</v>
      </c>
    </row>
    <row r="353" spans="1:11" x14ac:dyDescent="0.25">
      <c r="A353" t="s">
        <v>361</v>
      </c>
      <c r="B353" s="1">
        <v>45088</v>
      </c>
      <c r="C353" t="s">
        <v>1011</v>
      </c>
      <c r="D353" t="s">
        <v>1017</v>
      </c>
      <c r="E353" t="s">
        <v>1031</v>
      </c>
      <c r="F353" t="s">
        <v>1033</v>
      </c>
      <c r="G353">
        <v>6</v>
      </c>
      <c r="H353">
        <v>29255</v>
      </c>
      <c r="I353">
        <v>5</v>
      </c>
      <c r="J353" t="s">
        <v>1035</v>
      </c>
      <c r="K353">
        <v>166753.5</v>
      </c>
    </row>
    <row r="354" spans="1:11" x14ac:dyDescent="0.25">
      <c r="A354" t="s">
        <v>362</v>
      </c>
      <c r="B354" s="1">
        <v>45060</v>
      </c>
      <c r="C354" t="s">
        <v>1010</v>
      </c>
      <c r="D354" t="s">
        <v>1017</v>
      </c>
      <c r="E354" t="s">
        <v>1026</v>
      </c>
      <c r="F354" t="s">
        <v>1033</v>
      </c>
      <c r="G354">
        <v>2</v>
      </c>
      <c r="H354">
        <v>29531</v>
      </c>
      <c r="I354">
        <v>10</v>
      </c>
      <c r="J354" t="s">
        <v>1039</v>
      </c>
      <c r="K354">
        <v>53155.8</v>
      </c>
    </row>
    <row r="355" spans="1:11" x14ac:dyDescent="0.25">
      <c r="A355" t="s">
        <v>363</v>
      </c>
      <c r="B355" s="1">
        <v>45031</v>
      </c>
      <c r="C355" t="s">
        <v>1010</v>
      </c>
      <c r="D355" t="s">
        <v>1020</v>
      </c>
      <c r="E355" t="s">
        <v>1029</v>
      </c>
      <c r="F355" t="s">
        <v>1033</v>
      </c>
      <c r="G355">
        <v>4</v>
      </c>
      <c r="H355">
        <v>38172</v>
      </c>
      <c r="I355">
        <v>5</v>
      </c>
      <c r="J355" t="s">
        <v>1036</v>
      </c>
      <c r="K355">
        <v>145053.6</v>
      </c>
    </row>
    <row r="356" spans="1:11" x14ac:dyDescent="0.25">
      <c r="A356" t="s">
        <v>364</v>
      </c>
      <c r="B356" s="1">
        <v>45269</v>
      </c>
      <c r="C356" t="s">
        <v>1011</v>
      </c>
      <c r="D356" t="s">
        <v>1017</v>
      </c>
      <c r="E356" t="s">
        <v>1025</v>
      </c>
      <c r="F356" t="s">
        <v>1032</v>
      </c>
      <c r="G356">
        <v>3</v>
      </c>
      <c r="H356">
        <v>23426</v>
      </c>
      <c r="I356">
        <v>0</v>
      </c>
      <c r="J356" t="s">
        <v>1039</v>
      </c>
      <c r="K356">
        <v>70278</v>
      </c>
    </row>
    <row r="357" spans="1:11" x14ac:dyDescent="0.25">
      <c r="A357" t="s">
        <v>365</v>
      </c>
      <c r="B357" s="1">
        <v>45087</v>
      </c>
      <c r="C357" t="s">
        <v>1011</v>
      </c>
      <c r="D357" t="s">
        <v>1016</v>
      </c>
      <c r="E357" t="s">
        <v>1029</v>
      </c>
      <c r="F357" t="s">
        <v>1033</v>
      </c>
      <c r="G357">
        <v>8</v>
      </c>
      <c r="H357">
        <v>36686</v>
      </c>
      <c r="I357">
        <v>0</v>
      </c>
      <c r="J357" t="s">
        <v>1036</v>
      </c>
      <c r="K357">
        <v>293488</v>
      </c>
    </row>
    <row r="358" spans="1:11" x14ac:dyDescent="0.25">
      <c r="A358" t="s">
        <v>366</v>
      </c>
      <c r="B358" s="1">
        <v>45049</v>
      </c>
      <c r="C358" t="s">
        <v>1013</v>
      </c>
      <c r="D358" t="s">
        <v>1021</v>
      </c>
      <c r="E358" t="s">
        <v>1023</v>
      </c>
      <c r="F358" t="s">
        <v>1034</v>
      </c>
      <c r="G358">
        <v>2</v>
      </c>
      <c r="H358">
        <v>46490</v>
      </c>
      <c r="I358">
        <v>20</v>
      </c>
      <c r="J358" t="s">
        <v>1036</v>
      </c>
      <c r="K358">
        <v>74384</v>
      </c>
    </row>
    <row r="359" spans="1:11" x14ac:dyDescent="0.25">
      <c r="A359" t="s">
        <v>367</v>
      </c>
      <c r="B359" s="1">
        <v>45062</v>
      </c>
      <c r="C359" t="s">
        <v>1012</v>
      </c>
      <c r="D359" t="s">
        <v>1016</v>
      </c>
      <c r="E359" t="s">
        <v>1025</v>
      </c>
      <c r="F359" t="s">
        <v>1032</v>
      </c>
      <c r="G359">
        <v>10</v>
      </c>
      <c r="H359">
        <v>16476</v>
      </c>
      <c r="I359">
        <v>15</v>
      </c>
      <c r="J359" t="s">
        <v>1038</v>
      </c>
      <c r="K359">
        <v>140046</v>
      </c>
    </row>
    <row r="360" spans="1:11" x14ac:dyDescent="0.25">
      <c r="A360" t="s">
        <v>368</v>
      </c>
      <c r="B360" s="1">
        <v>45129</v>
      </c>
      <c r="C360" t="s">
        <v>1011</v>
      </c>
      <c r="D360" t="s">
        <v>1016</v>
      </c>
      <c r="E360" t="s">
        <v>1026</v>
      </c>
      <c r="F360" t="s">
        <v>1034</v>
      </c>
      <c r="G360">
        <v>6</v>
      </c>
      <c r="H360">
        <v>12343</v>
      </c>
      <c r="I360">
        <v>0</v>
      </c>
      <c r="J360" t="s">
        <v>1037</v>
      </c>
      <c r="K360">
        <v>74058</v>
      </c>
    </row>
    <row r="361" spans="1:11" x14ac:dyDescent="0.25">
      <c r="A361" t="s">
        <v>369</v>
      </c>
      <c r="B361" s="1">
        <v>44994</v>
      </c>
      <c r="C361" t="s">
        <v>1012</v>
      </c>
      <c r="D361" t="s">
        <v>1018</v>
      </c>
      <c r="E361" t="s">
        <v>1026</v>
      </c>
      <c r="F361" t="s">
        <v>1032</v>
      </c>
      <c r="G361">
        <v>1</v>
      </c>
      <c r="H361">
        <v>44424</v>
      </c>
      <c r="I361">
        <v>20</v>
      </c>
      <c r="J361" t="s">
        <v>1037</v>
      </c>
      <c r="K361">
        <v>35539.199999999997</v>
      </c>
    </row>
    <row r="362" spans="1:11" x14ac:dyDescent="0.25">
      <c r="A362" t="s">
        <v>370</v>
      </c>
      <c r="B362" s="1">
        <v>45270</v>
      </c>
      <c r="C362" t="s">
        <v>1013</v>
      </c>
      <c r="D362" t="s">
        <v>1014</v>
      </c>
      <c r="E362" t="s">
        <v>1023</v>
      </c>
      <c r="F362" t="s">
        <v>1034</v>
      </c>
      <c r="G362">
        <v>1</v>
      </c>
      <c r="H362">
        <v>44883</v>
      </c>
      <c r="I362">
        <v>15</v>
      </c>
      <c r="J362" t="s">
        <v>1038</v>
      </c>
      <c r="K362">
        <v>38150.550000000003</v>
      </c>
    </row>
    <row r="363" spans="1:11" x14ac:dyDescent="0.25">
      <c r="A363" t="s">
        <v>371</v>
      </c>
      <c r="B363" s="1">
        <v>45257</v>
      </c>
      <c r="C363" t="s">
        <v>1013</v>
      </c>
      <c r="D363" t="s">
        <v>1021</v>
      </c>
      <c r="E363" t="s">
        <v>1030</v>
      </c>
      <c r="F363" t="s">
        <v>1034</v>
      </c>
      <c r="G363">
        <v>6</v>
      </c>
      <c r="H363">
        <v>6104</v>
      </c>
      <c r="I363">
        <v>5</v>
      </c>
      <c r="J363" t="s">
        <v>1036</v>
      </c>
      <c r="K363">
        <v>34792.800000000003</v>
      </c>
    </row>
    <row r="364" spans="1:11" x14ac:dyDescent="0.25">
      <c r="A364" t="s">
        <v>372</v>
      </c>
      <c r="B364" s="1">
        <v>45080</v>
      </c>
      <c r="C364" t="s">
        <v>1010</v>
      </c>
      <c r="D364" t="s">
        <v>1015</v>
      </c>
      <c r="E364" t="s">
        <v>1024</v>
      </c>
      <c r="F364" t="s">
        <v>1034</v>
      </c>
      <c r="G364">
        <v>3</v>
      </c>
      <c r="H364">
        <v>49455</v>
      </c>
      <c r="I364">
        <v>15</v>
      </c>
      <c r="J364" t="s">
        <v>1036</v>
      </c>
      <c r="K364">
        <v>126110.25</v>
      </c>
    </row>
    <row r="365" spans="1:11" x14ac:dyDescent="0.25">
      <c r="A365" t="s">
        <v>373</v>
      </c>
      <c r="B365" s="1">
        <v>45161</v>
      </c>
      <c r="C365" t="s">
        <v>1013</v>
      </c>
      <c r="D365" t="s">
        <v>1014</v>
      </c>
      <c r="E365" t="s">
        <v>1030</v>
      </c>
      <c r="F365" t="s">
        <v>1032</v>
      </c>
      <c r="G365">
        <v>9</v>
      </c>
      <c r="H365">
        <v>47655</v>
      </c>
      <c r="I365">
        <v>10</v>
      </c>
      <c r="J365" t="s">
        <v>1038</v>
      </c>
      <c r="K365">
        <v>386005.5</v>
      </c>
    </row>
    <row r="366" spans="1:11" x14ac:dyDescent="0.25">
      <c r="A366" t="s">
        <v>374</v>
      </c>
      <c r="B366" s="1">
        <v>45088</v>
      </c>
      <c r="C366" t="s">
        <v>1010</v>
      </c>
      <c r="D366" t="s">
        <v>1019</v>
      </c>
      <c r="E366" t="s">
        <v>1026</v>
      </c>
      <c r="F366" t="s">
        <v>1034</v>
      </c>
      <c r="G366">
        <v>2</v>
      </c>
      <c r="H366">
        <v>38630</v>
      </c>
      <c r="I366">
        <v>20</v>
      </c>
      <c r="J366" t="s">
        <v>1035</v>
      </c>
      <c r="K366">
        <v>61808</v>
      </c>
    </row>
    <row r="367" spans="1:11" x14ac:dyDescent="0.25">
      <c r="A367" t="s">
        <v>375</v>
      </c>
      <c r="B367" s="1">
        <v>44964</v>
      </c>
      <c r="C367" t="s">
        <v>1010</v>
      </c>
      <c r="D367" t="s">
        <v>1018</v>
      </c>
      <c r="E367" t="s">
        <v>1028</v>
      </c>
      <c r="F367" t="s">
        <v>1034</v>
      </c>
      <c r="G367">
        <v>3</v>
      </c>
      <c r="H367">
        <v>32891</v>
      </c>
      <c r="I367">
        <v>20</v>
      </c>
      <c r="J367" t="s">
        <v>1035</v>
      </c>
      <c r="K367">
        <v>78938.400000000009</v>
      </c>
    </row>
    <row r="368" spans="1:11" x14ac:dyDescent="0.25">
      <c r="A368" t="s">
        <v>376</v>
      </c>
      <c r="B368" s="1">
        <v>44931</v>
      </c>
      <c r="C368" t="s">
        <v>1011</v>
      </c>
      <c r="D368" t="s">
        <v>1019</v>
      </c>
      <c r="E368" t="s">
        <v>1026</v>
      </c>
      <c r="F368" t="s">
        <v>1032</v>
      </c>
      <c r="G368">
        <v>8</v>
      </c>
      <c r="H368">
        <v>8492</v>
      </c>
      <c r="I368">
        <v>20</v>
      </c>
      <c r="J368" t="s">
        <v>1039</v>
      </c>
      <c r="K368">
        <v>54348.800000000003</v>
      </c>
    </row>
    <row r="369" spans="1:11" x14ac:dyDescent="0.25">
      <c r="A369" t="s">
        <v>377</v>
      </c>
      <c r="B369" s="1">
        <v>45161</v>
      </c>
      <c r="C369" t="s">
        <v>1011</v>
      </c>
      <c r="D369" t="s">
        <v>1015</v>
      </c>
      <c r="E369" t="s">
        <v>1023</v>
      </c>
      <c r="F369" t="s">
        <v>1034</v>
      </c>
      <c r="G369">
        <v>4</v>
      </c>
      <c r="H369">
        <v>39808</v>
      </c>
      <c r="I369">
        <v>0</v>
      </c>
      <c r="J369" t="s">
        <v>1038</v>
      </c>
      <c r="K369">
        <v>159232</v>
      </c>
    </row>
    <row r="370" spans="1:11" x14ac:dyDescent="0.25">
      <c r="A370" t="s">
        <v>378</v>
      </c>
      <c r="B370" s="1">
        <v>45245</v>
      </c>
      <c r="C370" t="s">
        <v>1012</v>
      </c>
      <c r="D370" t="s">
        <v>1021</v>
      </c>
      <c r="E370" t="s">
        <v>1027</v>
      </c>
      <c r="F370" t="s">
        <v>1032</v>
      </c>
      <c r="G370">
        <v>6</v>
      </c>
      <c r="H370">
        <v>40064</v>
      </c>
      <c r="I370">
        <v>10</v>
      </c>
      <c r="J370" t="s">
        <v>1038</v>
      </c>
      <c r="K370">
        <v>216345.60000000001</v>
      </c>
    </row>
    <row r="371" spans="1:11" x14ac:dyDescent="0.25">
      <c r="A371" t="s">
        <v>379</v>
      </c>
      <c r="B371" s="1">
        <v>45215</v>
      </c>
      <c r="C371" t="s">
        <v>1010</v>
      </c>
      <c r="D371" t="s">
        <v>1016</v>
      </c>
      <c r="E371" t="s">
        <v>1027</v>
      </c>
      <c r="F371" t="s">
        <v>1033</v>
      </c>
      <c r="G371">
        <v>9</v>
      </c>
      <c r="H371">
        <v>31337</v>
      </c>
      <c r="I371">
        <v>15</v>
      </c>
      <c r="J371" t="s">
        <v>1039</v>
      </c>
      <c r="K371">
        <v>239728.05</v>
      </c>
    </row>
    <row r="372" spans="1:11" x14ac:dyDescent="0.25">
      <c r="A372" t="s">
        <v>380</v>
      </c>
      <c r="B372" s="1">
        <v>44978</v>
      </c>
      <c r="C372" t="s">
        <v>1010</v>
      </c>
      <c r="D372" t="s">
        <v>1021</v>
      </c>
      <c r="E372" t="s">
        <v>1031</v>
      </c>
      <c r="F372" t="s">
        <v>1034</v>
      </c>
      <c r="G372">
        <v>6</v>
      </c>
      <c r="H372">
        <v>22323</v>
      </c>
      <c r="I372">
        <v>5</v>
      </c>
      <c r="J372" t="s">
        <v>1035</v>
      </c>
      <c r="K372">
        <v>127241.1</v>
      </c>
    </row>
    <row r="373" spans="1:11" x14ac:dyDescent="0.25">
      <c r="A373" t="s">
        <v>381</v>
      </c>
      <c r="B373" s="1">
        <v>44964</v>
      </c>
      <c r="C373" t="s">
        <v>1012</v>
      </c>
      <c r="D373" t="s">
        <v>1018</v>
      </c>
      <c r="E373" t="s">
        <v>1029</v>
      </c>
      <c r="F373" t="s">
        <v>1032</v>
      </c>
      <c r="G373">
        <v>8</v>
      </c>
      <c r="H373">
        <v>37378</v>
      </c>
      <c r="I373">
        <v>15</v>
      </c>
      <c r="J373" t="s">
        <v>1035</v>
      </c>
      <c r="K373">
        <v>254170.4</v>
      </c>
    </row>
    <row r="374" spans="1:11" x14ac:dyDescent="0.25">
      <c r="A374" t="s">
        <v>382</v>
      </c>
      <c r="B374" s="1">
        <v>45202</v>
      </c>
      <c r="C374" t="s">
        <v>1010</v>
      </c>
      <c r="D374" t="s">
        <v>1021</v>
      </c>
      <c r="E374" t="s">
        <v>1024</v>
      </c>
      <c r="F374" t="s">
        <v>1033</v>
      </c>
      <c r="G374">
        <v>4</v>
      </c>
      <c r="H374">
        <v>7399</v>
      </c>
      <c r="I374">
        <v>10</v>
      </c>
      <c r="J374" t="s">
        <v>1037</v>
      </c>
      <c r="K374">
        <v>26636.400000000001</v>
      </c>
    </row>
    <row r="375" spans="1:11" x14ac:dyDescent="0.25">
      <c r="A375" t="s">
        <v>383</v>
      </c>
      <c r="B375" s="1">
        <v>45036</v>
      </c>
      <c r="C375" t="s">
        <v>1013</v>
      </c>
      <c r="D375" t="s">
        <v>1017</v>
      </c>
      <c r="E375" t="s">
        <v>1030</v>
      </c>
      <c r="F375" t="s">
        <v>1034</v>
      </c>
      <c r="G375">
        <v>1</v>
      </c>
      <c r="H375">
        <v>30177</v>
      </c>
      <c r="I375">
        <v>15</v>
      </c>
      <c r="J375" t="s">
        <v>1037</v>
      </c>
      <c r="K375">
        <v>25650.45</v>
      </c>
    </row>
    <row r="376" spans="1:11" x14ac:dyDescent="0.25">
      <c r="A376" t="s">
        <v>384</v>
      </c>
      <c r="B376" s="1">
        <v>45186</v>
      </c>
      <c r="C376" t="s">
        <v>1010</v>
      </c>
      <c r="D376" t="s">
        <v>1016</v>
      </c>
      <c r="E376" t="s">
        <v>1027</v>
      </c>
      <c r="F376" t="s">
        <v>1033</v>
      </c>
      <c r="G376">
        <v>7</v>
      </c>
      <c r="H376">
        <v>12545</v>
      </c>
      <c r="I376">
        <v>10</v>
      </c>
      <c r="J376" t="s">
        <v>1037</v>
      </c>
      <c r="K376">
        <v>79033.5</v>
      </c>
    </row>
    <row r="377" spans="1:11" x14ac:dyDescent="0.25">
      <c r="A377" t="s">
        <v>385</v>
      </c>
      <c r="B377" s="1">
        <v>45062</v>
      </c>
      <c r="C377" t="s">
        <v>1010</v>
      </c>
      <c r="D377" t="s">
        <v>1019</v>
      </c>
      <c r="E377" t="s">
        <v>1024</v>
      </c>
      <c r="F377" t="s">
        <v>1034</v>
      </c>
      <c r="G377">
        <v>6</v>
      </c>
      <c r="H377">
        <v>21187</v>
      </c>
      <c r="I377">
        <v>0</v>
      </c>
      <c r="J377" t="s">
        <v>1036</v>
      </c>
      <c r="K377">
        <v>127122</v>
      </c>
    </row>
    <row r="378" spans="1:11" x14ac:dyDescent="0.25">
      <c r="A378" t="s">
        <v>386</v>
      </c>
      <c r="B378" s="1">
        <v>44994</v>
      </c>
      <c r="C378" t="s">
        <v>1010</v>
      </c>
      <c r="D378" t="s">
        <v>1017</v>
      </c>
      <c r="E378" t="s">
        <v>1030</v>
      </c>
      <c r="F378" t="s">
        <v>1032</v>
      </c>
      <c r="G378">
        <v>3</v>
      </c>
      <c r="H378">
        <v>27594</v>
      </c>
      <c r="I378">
        <v>10</v>
      </c>
      <c r="J378" t="s">
        <v>1039</v>
      </c>
      <c r="K378">
        <v>74503.8</v>
      </c>
    </row>
    <row r="379" spans="1:11" x14ac:dyDescent="0.25">
      <c r="A379" t="s">
        <v>387</v>
      </c>
      <c r="B379" s="1">
        <v>45105</v>
      </c>
      <c r="C379" t="s">
        <v>1011</v>
      </c>
      <c r="D379" t="s">
        <v>1017</v>
      </c>
      <c r="E379" t="s">
        <v>1029</v>
      </c>
      <c r="F379" t="s">
        <v>1033</v>
      </c>
      <c r="G379">
        <v>5</v>
      </c>
      <c r="H379">
        <v>5561</v>
      </c>
      <c r="I379">
        <v>10</v>
      </c>
      <c r="J379" t="s">
        <v>1035</v>
      </c>
      <c r="K379">
        <v>25024.5</v>
      </c>
    </row>
    <row r="380" spans="1:11" x14ac:dyDescent="0.25">
      <c r="A380" t="s">
        <v>388</v>
      </c>
      <c r="B380" s="1">
        <v>44962</v>
      </c>
      <c r="C380" t="s">
        <v>1013</v>
      </c>
      <c r="D380" t="s">
        <v>1017</v>
      </c>
      <c r="E380" t="s">
        <v>1026</v>
      </c>
      <c r="F380" t="s">
        <v>1033</v>
      </c>
      <c r="G380">
        <v>1</v>
      </c>
      <c r="H380">
        <v>40207</v>
      </c>
      <c r="I380">
        <v>10</v>
      </c>
      <c r="J380" t="s">
        <v>1036</v>
      </c>
      <c r="K380">
        <v>36186.300000000003</v>
      </c>
    </row>
    <row r="381" spans="1:11" x14ac:dyDescent="0.25">
      <c r="A381" t="s">
        <v>389</v>
      </c>
      <c r="B381" s="1">
        <v>45052</v>
      </c>
      <c r="C381" t="s">
        <v>1010</v>
      </c>
      <c r="D381" t="s">
        <v>1015</v>
      </c>
      <c r="E381" t="s">
        <v>1023</v>
      </c>
      <c r="F381" t="s">
        <v>1033</v>
      </c>
      <c r="G381">
        <v>8</v>
      </c>
      <c r="H381">
        <v>8126</v>
      </c>
      <c r="I381">
        <v>10</v>
      </c>
      <c r="J381" t="s">
        <v>1038</v>
      </c>
      <c r="K381">
        <v>58507.199999999997</v>
      </c>
    </row>
    <row r="382" spans="1:11" x14ac:dyDescent="0.25">
      <c r="A382" t="s">
        <v>390</v>
      </c>
      <c r="B382" s="1">
        <v>45116</v>
      </c>
      <c r="C382" t="s">
        <v>1013</v>
      </c>
      <c r="D382" t="s">
        <v>1016</v>
      </c>
      <c r="E382" t="s">
        <v>1022</v>
      </c>
      <c r="F382" t="s">
        <v>1033</v>
      </c>
      <c r="G382">
        <v>8</v>
      </c>
      <c r="H382">
        <v>45925</v>
      </c>
      <c r="I382">
        <v>15</v>
      </c>
      <c r="J382" t="s">
        <v>1039</v>
      </c>
      <c r="K382">
        <v>312290</v>
      </c>
    </row>
    <row r="383" spans="1:11" x14ac:dyDescent="0.25">
      <c r="A383" t="s">
        <v>391</v>
      </c>
      <c r="B383" s="1">
        <v>45072</v>
      </c>
      <c r="C383" t="s">
        <v>1013</v>
      </c>
      <c r="D383" t="s">
        <v>1015</v>
      </c>
      <c r="E383" t="s">
        <v>1022</v>
      </c>
      <c r="F383" t="s">
        <v>1034</v>
      </c>
      <c r="G383">
        <v>9</v>
      </c>
      <c r="H383">
        <v>40086</v>
      </c>
      <c r="I383">
        <v>20</v>
      </c>
      <c r="J383" t="s">
        <v>1036</v>
      </c>
      <c r="K383">
        <v>288619.2</v>
      </c>
    </row>
    <row r="384" spans="1:11" x14ac:dyDescent="0.25">
      <c r="A384" t="s">
        <v>392</v>
      </c>
      <c r="B384" s="1">
        <v>45007</v>
      </c>
      <c r="C384" t="s">
        <v>1013</v>
      </c>
      <c r="D384" t="s">
        <v>1015</v>
      </c>
      <c r="E384" t="s">
        <v>1024</v>
      </c>
      <c r="F384" t="s">
        <v>1032</v>
      </c>
      <c r="G384">
        <v>5</v>
      </c>
      <c r="H384">
        <v>25832</v>
      </c>
      <c r="I384">
        <v>0</v>
      </c>
      <c r="J384" t="s">
        <v>1036</v>
      </c>
      <c r="K384">
        <v>129160</v>
      </c>
    </row>
    <row r="385" spans="1:11" x14ac:dyDescent="0.25">
      <c r="A385" t="s">
        <v>393</v>
      </c>
      <c r="B385" s="1">
        <v>45151</v>
      </c>
      <c r="C385" t="s">
        <v>1012</v>
      </c>
      <c r="D385" t="s">
        <v>1017</v>
      </c>
      <c r="E385" t="s">
        <v>1028</v>
      </c>
      <c r="F385" t="s">
        <v>1033</v>
      </c>
      <c r="G385">
        <v>9</v>
      </c>
      <c r="H385">
        <v>22457</v>
      </c>
      <c r="I385">
        <v>5</v>
      </c>
      <c r="J385" t="s">
        <v>1038</v>
      </c>
      <c r="K385">
        <v>192007.35</v>
      </c>
    </row>
    <row r="386" spans="1:11" x14ac:dyDescent="0.25">
      <c r="A386" t="s">
        <v>394</v>
      </c>
      <c r="B386" s="1">
        <v>45205</v>
      </c>
      <c r="C386" t="s">
        <v>1010</v>
      </c>
      <c r="D386" t="s">
        <v>1015</v>
      </c>
      <c r="E386" t="s">
        <v>1028</v>
      </c>
      <c r="F386" t="s">
        <v>1032</v>
      </c>
      <c r="G386">
        <v>8</v>
      </c>
      <c r="H386">
        <v>33394</v>
      </c>
      <c r="I386">
        <v>15</v>
      </c>
      <c r="J386" t="s">
        <v>1036</v>
      </c>
      <c r="K386">
        <v>227079.2</v>
      </c>
    </row>
    <row r="387" spans="1:11" x14ac:dyDescent="0.25">
      <c r="A387" t="s">
        <v>395</v>
      </c>
      <c r="B387" s="1">
        <v>45287</v>
      </c>
      <c r="C387" t="s">
        <v>1011</v>
      </c>
      <c r="D387" t="s">
        <v>1014</v>
      </c>
      <c r="E387" t="s">
        <v>1025</v>
      </c>
      <c r="F387" t="s">
        <v>1034</v>
      </c>
      <c r="G387">
        <v>4</v>
      </c>
      <c r="H387">
        <v>43270</v>
      </c>
      <c r="I387">
        <v>15</v>
      </c>
      <c r="J387" t="s">
        <v>1036</v>
      </c>
      <c r="K387">
        <v>147118</v>
      </c>
    </row>
    <row r="388" spans="1:11" x14ac:dyDescent="0.25">
      <c r="A388" t="s">
        <v>396</v>
      </c>
      <c r="B388" s="1">
        <v>45081</v>
      </c>
      <c r="C388" t="s">
        <v>1011</v>
      </c>
      <c r="D388" t="s">
        <v>1014</v>
      </c>
      <c r="E388" t="s">
        <v>1025</v>
      </c>
      <c r="F388" t="s">
        <v>1032</v>
      </c>
      <c r="G388">
        <v>10</v>
      </c>
      <c r="H388">
        <v>44264</v>
      </c>
      <c r="I388">
        <v>15</v>
      </c>
      <c r="J388" t="s">
        <v>1037</v>
      </c>
      <c r="K388">
        <v>376244</v>
      </c>
    </row>
    <row r="389" spans="1:11" x14ac:dyDescent="0.25">
      <c r="A389" t="s">
        <v>397</v>
      </c>
      <c r="B389" s="1">
        <v>45240</v>
      </c>
      <c r="C389" t="s">
        <v>1011</v>
      </c>
      <c r="D389" t="s">
        <v>1020</v>
      </c>
      <c r="E389" t="s">
        <v>1025</v>
      </c>
      <c r="F389" t="s">
        <v>1032</v>
      </c>
      <c r="G389">
        <v>3</v>
      </c>
      <c r="H389">
        <v>5029</v>
      </c>
      <c r="I389">
        <v>10</v>
      </c>
      <c r="J389" t="s">
        <v>1038</v>
      </c>
      <c r="K389">
        <v>13578.3</v>
      </c>
    </row>
    <row r="390" spans="1:11" x14ac:dyDescent="0.25">
      <c r="A390" t="s">
        <v>398</v>
      </c>
      <c r="B390" s="1">
        <v>45261</v>
      </c>
      <c r="C390" t="s">
        <v>1011</v>
      </c>
      <c r="D390" t="s">
        <v>1014</v>
      </c>
      <c r="E390" t="s">
        <v>1022</v>
      </c>
      <c r="F390" t="s">
        <v>1034</v>
      </c>
      <c r="G390">
        <v>9</v>
      </c>
      <c r="H390">
        <v>6933</v>
      </c>
      <c r="I390">
        <v>5</v>
      </c>
      <c r="J390" t="s">
        <v>1038</v>
      </c>
      <c r="K390">
        <v>59277.149999999987</v>
      </c>
    </row>
    <row r="391" spans="1:11" x14ac:dyDescent="0.25">
      <c r="A391" t="s">
        <v>399</v>
      </c>
      <c r="B391" s="1">
        <v>45197</v>
      </c>
      <c r="C391" t="s">
        <v>1010</v>
      </c>
      <c r="D391" t="s">
        <v>1014</v>
      </c>
      <c r="E391" t="s">
        <v>1026</v>
      </c>
      <c r="F391" t="s">
        <v>1033</v>
      </c>
      <c r="G391">
        <v>6</v>
      </c>
      <c r="H391">
        <v>15261</v>
      </c>
      <c r="I391">
        <v>15</v>
      </c>
      <c r="J391" t="s">
        <v>1038</v>
      </c>
      <c r="K391">
        <v>77831.099999999991</v>
      </c>
    </row>
    <row r="392" spans="1:11" x14ac:dyDescent="0.25">
      <c r="A392" t="s">
        <v>400</v>
      </c>
      <c r="B392" s="1">
        <v>44931</v>
      </c>
      <c r="C392" t="s">
        <v>1011</v>
      </c>
      <c r="D392" t="s">
        <v>1018</v>
      </c>
      <c r="E392" t="s">
        <v>1029</v>
      </c>
      <c r="F392" t="s">
        <v>1034</v>
      </c>
      <c r="G392">
        <v>6</v>
      </c>
      <c r="H392">
        <v>10104</v>
      </c>
      <c r="I392">
        <v>15</v>
      </c>
      <c r="J392" t="s">
        <v>1039</v>
      </c>
      <c r="K392">
        <v>51530.400000000001</v>
      </c>
    </row>
    <row r="393" spans="1:11" x14ac:dyDescent="0.25">
      <c r="A393" t="s">
        <v>401</v>
      </c>
      <c r="B393" s="1">
        <v>45268</v>
      </c>
      <c r="C393" t="s">
        <v>1013</v>
      </c>
      <c r="D393" t="s">
        <v>1015</v>
      </c>
      <c r="E393" t="s">
        <v>1024</v>
      </c>
      <c r="F393" t="s">
        <v>1033</v>
      </c>
      <c r="G393">
        <v>8</v>
      </c>
      <c r="H393">
        <v>39061</v>
      </c>
      <c r="I393">
        <v>5</v>
      </c>
      <c r="J393" t="s">
        <v>1038</v>
      </c>
      <c r="K393">
        <v>296863.59999999998</v>
      </c>
    </row>
    <row r="394" spans="1:11" x14ac:dyDescent="0.25">
      <c r="A394" t="s">
        <v>402</v>
      </c>
      <c r="B394" s="1">
        <v>45210</v>
      </c>
      <c r="C394" t="s">
        <v>1012</v>
      </c>
      <c r="D394" t="s">
        <v>1021</v>
      </c>
      <c r="E394" t="s">
        <v>1027</v>
      </c>
      <c r="F394" t="s">
        <v>1034</v>
      </c>
      <c r="G394">
        <v>5</v>
      </c>
      <c r="H394">
        <v>42689</v>
      </c>
      <c r="I394">
        <v>20</v>
      </c>
      <c r="J394" t="s">
        <v>1035</v>
      </c>
      <c r="K394">
        <v>170756</v>
      </c>
    </row>
    <row r="395" spans="1:11" x14ac:dyDescent="0.25">
      <c r="A395" t="s">
        <v>403</v>
      </c>
      <c r="B395" s="1">
        <v>45080</v>
      </c>
      <c r="C395" t="s">
        <v>1011</v>
      </c>
      <c r="D395" t="s">
        <v>1020</v>
      </c>
      <c r="E395" t="s">
        <v>1028</v>
      </c>
      <c r="F395" t="s">
        <v>1032</v>
      </c>
      <c r="G395">
        <v>10</v>
      </c>
      <c r="H395">
        <v>1012</v>
      </c>
      <c r="I395">
        <v>20</v>
      </c>
      <c r="J395" t="s">
        <v>1039</v>
      </c>
      <c r="K395">
        <v>8096</v>
      </c>
    </row>
    <row r="396" spans="1:11" x14ac:dyDescent="0.25">
      <c r="A396" t="s">
        <v>404</v>
      </c>
      <c r="B396" s="1">
        <v>45266</v>
      </c>
      <c r="C396" t="s">
        <v>1013</v>
      </c>
      <c r="D396" t="s">
        <v>1015</v>
      </c>
      <c r="E396" t="s">
        <v>1031</v>
      </c>
      <c r="F396" t="s">
        <v>1033</v>
      </c>
      <c r="G396">
        <v>9</v>
      </c>
      <c r="H396">
        <v>10615</v>
      </c>
      <c r="I396">
        <v>0</v>
      </c>
      <c r="J396" t="s">
        <v>1039</v>
      </c>
      <c r="K396">
        <v>95535</v>
      </c>
    </row>
    <row r="397" spans="1:11" x14ac:dyDescent="0.25">
      <c r="A397" t="s">
        <v>405</v>
      </c>
      <c r="B397" s="1">
        <v>44980</v>
      </c>
      <c r="C397" t="s">
        <v>1011</v>
      </c>
      <c r="D397" t="s">
        <v>1014</v>
      </c>
      <c r="E397" t="s">
        <v>1030</v>
      </c>
      <c r="F397" t="s">
        <v>1034</v>
      </c>
      <c r="G397">
        <v>3</v>
      </c>
      <c r="H397">
        <v>44311</v>
      </c>
      <c r="I397">
        <v>5</v>
      </c>
      <c r="J397" t="s">
        <v>1035</v>
      </c>
      <c r="K397">
        <v>126286.35</v>
      </c>
    </row>
    <row r="398" spans="1:11" x14ac:dyDescent="0.25">
      <c r="A398" t="s">
        <v>406</v>
      </c>
      <c r="B398" s="1">
        <v>44995</v>
      </c>
      <c r="C398" t="s">
        <v>1010</v>
      </c>
      <c r="D398" t="s">
        <v>1021</v>
      </c>
      <c r="E398" t="s">
        <v>1029</v>
      </c>
      <c r="F398" t="s">
        <v>1034</v>
      </c>
      <c r="G398">
        <v>2</v>
      </c>
      <c r="H398">
        <v>10779</v>
      </c>
      <c r="I398">
        <v>5</v>
      </c>
      <c r="J398" t="s">
        <v>1038</v>
      </c>
      <c r="K398">
        <v>20480.099999999999</v>
      </c>
    </row>
    <row r="399" spans="1:11" x14ac:dyDescent="0.25">
      <c r="A399" t="s">
        <v>407</v>
      </c>
      <c r="B399" s="1">
        <v>45062</v>
      </c>
      <c r="C399" t="s">
        <v>1013</v>
      </c>
      <c r="D399" t="s">
        <v>1017</v>
      </c>
      <c r="E399" t="s">
        <v>1023</v>
      </c>
      <c r="F399" t="s">
        <v>1034</v>
      </c>
      <c r="G399">
        <v>9</v>
      </c>
      <c r="H399">
        <v>30686</v>
      </c>
      <c r="I399">
        <v>10</v>
      </c>
      <c r="J399" t="s">
        <v>1035</v>
      </c>
      <c r="K399">
        <v>248556.6</v>
      </c>
    </row>
    <row r="400" spans="1:11" x14ac:dyDescent="0.25">
      <c r="A400" t="s">
        <v>408</v>
      </c>
      <c r="B400" s="1">
        <v>44986</v>
      </c>
      <c r="C400" t="s">
        <v>1010</v>
      </c>
      <c r="D400" t="s">
        <v>1016</v>
      </c>
      <c r="E400" t="s">
        <v>1029</v>
      </c>
      <c r="F400" t="s">
        <v>1033</v>
      </c>
      <c r="G400">
        <v>3</v>
      </c>
      <c r="H400">
        <v>35816</v>
      </c>
      <c r="I400">
        <v>15</v>
      </c>
      <c r="J400" t="s">
        <v>1036</v>
      </c>
      <c r="K400">
        <v>91330.8</v>
      </c>
    </row>
    <row r="401" spans="1:11" x14ac:dyDescent="0.25">
      <c r="A401" t="s">
        <v>409</v>
      </c>
      <c r="B401" s="1">
        <v>44981</v>
      </c>
      <c r="C401" t="s">
        <v>1011</v>
      </c>
      <c r="D401" t="s">
        <v>1014</v>
      </c>
      <c r="E401" t="s">
        <v>1024</v>
      </c>
      <c r="F401" t="s">
        <v>1032</v>
      </c>
      <c r="G401">
        <v>8</v>
      </c>
      <c r="H401">
        <v>20103</v>
      </c>
      <c r="I401">
        <v>20</v>
      </c>
      <c r="J401" t="s">
        <v>1037</v>
      </c>
      <c r="K401">
        <v>128659.2</v>
      </c>
    </row>
    <row r="402" spans="1:11" x14ac:dyDescent="0.25">
      <c r="A402" t="s">
        <v>410</v>
      </c>
      <c r="B402" s="1">
        <v>45210</v>
      </c>
      <c r="C402" t="s">
        <v>1013</v>
      </c>
      <c r="D402" t="s">
        <v>1017</v>
      </c>
      <c r="E402" t="s">
        <v>1026</v>
      </c>
      <c r="F402" t="s">
        <v>1034</v>
      </c>
      <c r="G402">
        <v>5</v>
      </c>
      <c r="H402">
        <v>26557</v>
      </c>
      <c r="I402">
        <v>10</v>
      </c>
      <c r="J402" t="s">
        <v>1037</v>
      </c>
      <c r="K402">
        <v>119506.5</v>
      </c>
    </row>
    <row r="403" spans="1:11" x14ac:dyDescent="0.25">
      <c r="A403" t="s">
        <v>411</v>
      </c>
      <c r="B403" s="1">
        <v>45006</v>
      </c>
      <c r="C403" t="s">
        <v>1013</v>
      </c>
      <c r="D403" t="s">
        <v>1017</v>
      </c>
      <c r="E403" t="s">
        <v>1025</v>
      </c>
      <c r="F403" t="s">
        <v>1034</v>
      </c>
      <c r="G403">
        <v>5</v>
      </c>
      <c r="H403">
        <v>41342</v>
      </c>
      <c r="I403">
        <v>0</v>
      </c>
      <c r="J403" t="s">
        <v>1036</v>
      </c>
      <c r="K403">
        <v>206710</v>
      </c>
    </row>
    <row r="404" spans="1:11" x14ac:dyDescent="0.25">
      <c r="A404" t="s">
        <v>412</v>
      </c>
      <c r="B404" s="1">
        <v>45066</v>
      </c>
      <c r="C404" t="s">
        <v>1013</v>
      </c>
      <c r="D404" t="s">
        <v>1014</v>
      </c>
      <c r="E404" t="s">
        <v>1027</v>
      </c>
      <c r="F404" t="s">
        <v>1032</v>
      </c>
      <c r="G404">
        <v>9</v>
      </c>
      <c r="H404">
        <v>38875</v>
      </c>
      <c r="I404">
        <v>20</v>
      </c>
      <c r="J404" t="s">
        <v>1037</v>
      </c>
      <c r="K404">
        <v>279900</v>
      </c>
    </row>
    <row r="405" spans="1:11" x14ac:dyDescent="0.25">
      <c r="A405" t="s">
        <v>413</v>
      </c>
      <c r="B405" s="1">
        <v>45071</v>
      </c>
      <c r="C405" t="s">
        <v>1011</v>
      </c>
      <c r="D405" t="s">
        <v>1014</v>
      </c>
      <c r="E405" t="s">
        <v>1031</v>
      </c>
      <c r="F405" t="s">
        <v>1032</v>
      </c>
      <c r="G405">
        <v>6</v>
      </c>
      <c r="H405">
        <v>30305</v>
      </c>
      <c r="I405">
        <v>15</v>
      </c>
      <c r="J405" t="s">
        <v>1036</v>
      </c>
      <c r="K405">
        <v>154555.5</v>
      </c>
    </row>
    <row r="406" spans="1:11" x14ac:dyDescent="0.25">
      <c r="A406" t="s">
        <v>414</v>
      </c>
      <c r="B406" s="1">
        <v>45236</v>
      </c>
      <c r="C406" t="s">
        <v>1012</v>
      </c>
      <c r="D406" t="s">
        <v>1018</v>
      </c>
      <c r="E406" t="s">
        <v>1022</v>
      </c>
      <c r="F406" t="s">
        <v>1032</v>
      </c>
      <c r="G406">
        <v>8</v>
      </c>
      <c r="H406">
        <v>13823</v>
      </c>
      <c r="I406">
        <v>0</v>
      </c>
      <c r="J406" t="s">
        <v>1036</v>
      </c>
      <c r="K406">
        <v>110584</v>
      </c>
    </row>
    <row r="407" spans="1:11" x14ac:dyDescent="0.25">
      <c r="A407" t="s">
        <v>415</v>
      </c>
      <c r="B407" s="1">
        <v>45034</v>
      </c>
      <c r="C407" t="s">
        <v>1012</v>
      </c>
      <c r="D407" t="s">
        <v>1014</v>
      </c>
      <c r="E407" t="s">
        <v>1026</v>
      </c>
      <c r="F407" t="s">
        <v>1032</v>
      </c>
      <c r="G407">
        <v>1</v>
      </c>
      <c r="H407">
        <v>14478</v>
      </c>
      <c r="I407">
        <v>0</v>
      </c>
      <c r="J407" t="s">
        <v>1037</v>
      </c>
      <c r="K407">
        <v>14478</v>
      </c>
    </row>
    <row r="408" spans="1:11" x14ac:dyDescent="0.25">
      <c r="A408" t="s">
        <v>416</v>
      </c>
      <c r="B408" s="1">
        <v>45102</v>
      </c>
      <c r="C408" t="s">
        <v>1010</v>
      </c>
      <c r="D408" t="s">
        <v>1014</v>
      </c>
      <c r="E408" t="s">
        <v>1029</v>
      </c>
      <c r="F408" t="s">
        <v>1034</v>
      </c>
      <c r="G408">
        <v>9</v>
      </c>
      <c r="H408">
        <v>45663</v>
      </c>
      <c r="I408">
        <v>15</v>
      </c>
      <c r="J408" t="s">
        <v>1036</v>
      </c>
      <c r="K408">
        <v>349321.95</v>
      </c>
    </row>
    <row r="409" spans="1:11" x14ac:dyDescent="0.25">
      <c r="A409" t="s">
        <v>417</v>
      </c>
      <c r="B409" s="1">
        <v>45031</v>
      </c>
      <c r="C409" t="s">
        <v>1012</v>
      </c>
      <c r="D409" t="s">
        <v>1019</v>
      </c>
      <c r="E409" t="s">
        <v>1022</v>
      </c>
      <c r="F409" t="s">
        <v>1034</v>
      </c>
      <c r="G409">
        <v>7</v>
      </c>
      <c r="H409">
        <v>21748</v>
      </c>
      <c r="I409">
        <v>10</v>
      </c>
      <c r="J409" t="s">
        <v>1037</v>
      </c>
      <c r="K409">
        <v>137012.4</v>
      </c>
    </row>
    <row r="410" spans="1:11" x14ac:dyDescent="0.25">
      <c r="A410" t="s">
        <v>418</v>
      </c>
      <c r="B410" s="1">
        <v>45278</v>
      </c>
      <c r="C410" t="s">
        <v>1011</v>
      </c>
      <c r="D410" t="s">
        <v>1019</v>
      </c>
      <c r="E410" t="s">
        <v>1030</v>
      </c>
      <c r="F410" t="s">
        <v>1033</v>
      </c>
      <c r="G410">
        <v>3</v>
      </c>
      <c r="H410">
        <v>20643</v>
      </c>
      <c r="I410">
        <v>15</v>
      </c>
      <c r="J410" t="s">
        <v>1038</v>
      </c>
      <c r="K410">
        <v>52639.65</v>
      </c>
    </row>
    <row r="411" spans="1:11" x14ac:dyDescent="0.25">
      <c r="A411" t="s">
        <v>419</v>
      </c>
      <c r="B411" s="1">
        <v>45251</v>
      </c>
      <c r="C411" t="s">
        <v>1013</v>
      </c>
      <c r="D411" t="s">
        <v>1014</v>
      </c>
      <c r="E411" t="s">
        <v>1025</v>
      </c>
      <c r="F411" t="s">
        <v>1034</v>
      </c>
      <c r="G411">
        <v>1</v>
      </c>
      <c r="H411">
        <v>38373</v>
      </c>
      <c r="I411">
        <v>5</v>
      </c>
      <c r="J411" t="s">
        <v>1037</v>
      </c>
      <c r="K411">
        <v>36454.35</v>
      </c>
    </row>
    <row r="412" spans="1:11" x14ac:dyDescent="0.25">
      <c r="A412" t="s">
        <v>420</v>
      </c>
      <c r="B412" s="1">
        <v>45062</v>
      </c>
      <c r="C412" t="s">
        <v>1013</v>
      </c>
      <c r="D412" t="s">
        <v>1018</v>
      </c>
      <c r="E412" t="s">
        <v>1026</v>
      </c>
      <c r="F412" t="s">
        <v>1034</v>
      </c>
      <c r="G412">
        <v>10</v>
      </c>
      <c r="H412">
        <v>45535</v>
      </c>
      <c r="I412">
        <v>20</v>
      </c>
      <c r="J412" t="s">
        <v>1037</v>
      </c>
      <c r="K412">
        <v>364280</v>
      </c>
    </row>
    <row r="413" spans="1:11" x14ac:dyDescent="0.25">
      <c r="A413" t="s">
        <v>421</v>
      </c>
      <c r="B413" s="1">
        <v>45185</v>
      </c>
      <c r="C413" t="s">
        <v>1011</v>
      </c>
      <c r="D413" t="s">
        <v>1015</v>
      </c>
      <c r="E413" t="s">
        <v>1031</v>
      </c>
      <c r="F413" t="s">
        <v>1032</v>
      </c>
      <c r="G413">
        <v>6</v>
      </c>
      <c r="H413">
        <v>20958</v>
      </c>
      <c r="I413">
        <v>15</v>
      </c>
      <c r="J413" t="s">
        <v>1038</v>
      </c>
      <c r="K413">
        <v>106885.8</v>
      </c>
    </row>
    <row r="414" spans="1:11" x14ac:dyDescent="0.25">
      <c r="A414" t="s">
        <v>422</v>
      </c>
      <c r="B414" s="1">
        <v>45177</v>
      </c>
      <c r="C414" t="s">
        <v>1013</v>
      </c>
      <c r="D414" t="s">
        <v>1020</v>
      </c>
      <c r="E414" t="s">
        <v>1026</v>
      </c>
      <c r="F414" t="s">
        <v>1033</v>
      </c>
      <c r="G414">
        <v>10</v>
      </c>
      <c r="H414">
        <v>29490</v>
      </c>
      <c r="I414">
        <v>20</v>
      </c>
      <c r="J414" t="s">
        <v>1039</v>
      </c>
      <c r="K414">
        <v>235920</v>
      </c>
    </row>
    <row r="415" spans="1:11" x14ac:dyDescent="0.25">
      <c r="A415" t="s">
        <v>423</v>
      </c>
      <c r="B415" s="1">
        <v>45055</v>
      </c>
      <c r="C415" t="s">
        <v>1012</v>
      </c>
      <c r="D415" t="s">
        <v>1020</v>
      </c>
      <c r="E415" t="s">
        <v>1025</v>
      </c>
      <c r="F415" t="s">
        <v>1032</v>
      </c>
      <c r="G415">
        <v>4</v>
      </c>
      <c r="H415">
        <v>48041</v>
      </c>
      <c r="I415">
        <v>5</v>
      </c>
      <c r="J415" t="s">
        <v>1037</v>
      </c>
      <c r="K415">
        <v>182555.8</v>
      </c>
    </row>
    <row r="416" spans="1:11" x14ac:dyDescent="0.25">
      <c r="A416" t="s">
        <v>424</v>
      </c>
      <c r="B416" s="1">
        <v>44953</v>
      </c>
      <c r="C416" t="s">
        <v>1010</v>
      </c>
      <c r="D416" t="s">
        <v>1015</v>
      </c>
      <c r="E416" t="s">
        <v>1024</v>
      </c>
      <c r="F416" t="s">
        <v>1034</v>
      </c>
      <c r="G416">
        <v>6</v>
      </c>
      <c r="H416">
        <v>23561</v>
      </c>
      <c r="I416">
        <v>5</v>
      </c>
      <c r="J416" t="s">
        <v>1036</v>
      </c>
      <c r="K416">
        <v>134297.70000000001</v>
      </c>
    </row>
    <row r="417" spans="1:11" x14ac:dyDescent="0.25">
      <c r="A417" t="s">
        <v>425</v>
      </c>
      <c r="B417" s="1">
        <v>44974</v>
      </c>
      <c r="C417" t="s">
        <v>1011</v>
      </c>
      <c r="D417" t="s">
        <v>1021</v>
      </c>
      <c r="E417" t="s">
        <v>1031</v>
      </c>
      <c r="F417" t="s">
        <v>1034</v>
      </c>
      <c r="G417">
        <v>2</v>
      </c>
      <c r="H417">
        <v>6851</v>
      </c>
      <c r="I417">
        <v>5</v>
      </c>
      <c r="J417" t="s">
        <v>1035</v>
      </c>
      <c r="K417">
        <v>13016.9</v>
      </c>
    </row>
    <row r="418" spans="1:11" x14ac:dyDescent="0.25">
      <c r="A418" t="s">
        <v>426</v>
      </c>
      <c r="B418" s="1">
        <v>45251</v>
      </c>
      <c r="C418" t="s">
        <v>1013</v>
      </c>
      <c r="D418" t="s">
        <v>1021</v>
      </c>
      <c r="E418" t="s">
        <v>1031</v>
      </c>
      <c r="F418" t="s">
        <v>1034</v>
      </c>
      <c r="G418">
        <v>9</v>
      </c>
      <c r="H418">
        <v>39189</v>
      </c>
      <c r="I418">
        <v>15</v>
      </c>
      <c r="J418" t="s">
        <v>1038</v>
      </c>
      <c r="K418">
        <v>299795.84999999998</v>
      </c>
    </row>
    <row r="419" spans="1:11" x14ac:dyDescent="0.25">
      <c r="A419" t="s">
        <v>427</v>
      </c>
      <c r="B419" s="1">
        <v>45143</v>
      </c>
      <c r="C419" t="s">
        <v>1011</v>
      </c>
      <c r="D419" t="s">
        <v>1019</v>
      </c>
      <c r="E419" t="s">
        <v>1025</v>
      </c>
      <c r="F419" t="s">
        <v>1033</v>
      </c>
      <c r="G419">
        <v>7</v>
      </c>
      <c r="H419">
        <v>1532</v>
      </c>
      <c r="I419">
        <v>10</v>
      </c>
      <c r="J419" t="s">
        <v>1037</v>
      </c>
      <c r="K419">
        <v>9651.6</v>
      </c>
    </row>
    <row r="420" spans="1:11" x14ac:dyDescent="0.25">
      <c r="A420" t="s">
        <v>428</v>
      </c>
      <c r="B420" s="1">
        <v>45068</v>
      </c>
      <c r="C420" t="s">
        <v>1012</v>
      </c>
      <c r="D420" t="s">
        <v>1016</v>
      </c>
      <c r="E420" t="s">
        <v>1026</v>
      </c>
      <c r="F420" t="s">
        <v>1032</v>
      </c>
      <c r="G420">
        <v>4</v>
      </c>
      <c r="H420">
        <v>41074</v>
      </c>
      <c r="I420">
        <v>20</v>
      </c>
      <c r="J420" t="s">
        <v>1038</v>
      </c>
      <c r="K420">
        <v>131436.79999999999</v>
      </c>
    </row>
    <row r="421" spans="1:11" x14ac:dyDescent="0.25">
      <c r="A421" t="s">
        <v>429</v>
      </c>
      <c r="B421" s="1">
        <v>44949</v>
      </c>
      <c r="C421" t="s">
        <v>1013</v>
      </c>
      <c r="D421" t="s">
        <v>1019</v>
      </c>
      <c r="E421" t="s">
        <v>1028</v>
      </c>
      <c r="F421" t="s">
        <v>1033</v>
      </c>
      <c r="G421">
        <v>9</v>
      </c>
      <c r="H421">
        <v>34451</v>
      </c>
      <c r="I421">
        <v>15</v>
      </c>
      <c r="J421" t="s">
        <v>1038</v>
      </c>
      <c r="K421">
        <v>263550.15000000002</v>
      </c>
    </row>
    <row r="422" spans="1:11" x14ac:dyDescent="0.25">
      <c r="A422" t="s">
        <v>430</v>
      </c>
      <c r="B422" s="1">
        <v>44928</v>
      </c>
      <c r="C422" t="s">
        <v>1013</v>
      </c>
      <c r="D422" t="s">
        <v>1018</v>
      </c>
      <c r="E422" t="s">
        <v>1024</v>
      </c>
      <c r="F422" t="s">
        <v>1034</v>
      </c>
      <c r="G422">
        <v>8</v>
      </c>
      <c r="H422">
        <v>27489</v>
      </c>
      <c r="I422">
        <v>0</v>
      </c>
      <c r="J422" t="s">
        <v>1036</v>
      </c>
      <c r="K422">
        <v>219912</v>
      </c>
    </row>
    <row r="423" spans="1:11" x14ac:dyDescent="0.25">
      <c r="A423" t="s">
        <v>431</v>
      </c>
      <c r="B423" s="1">
        <v>45097</v>
      </c>
      <c r="C423" t="s">
        <v>1013</v>
      </c>
      <c r="D423" t="s">
        <v>1020</v>
      </c>
      <c r="E423" t="s">
        <v>1030</v>
      </c>
      <c r="F423" t="s">
        <v>1034</v>
      </c>
      <c r="G423">
        <v>9</v>
      </c>
      <c r="H423">
        <v>9359</v>
      </c>
      <c r="I423">
        <v>10</v>
      </c>
      <c r="J423" t="s">
        <v>1036</v>
      </c>
      <c r="K423">
        <v>75807.900000000009</v>
      </c>
    </row>
    <row r="424" spans="1:11" x14ac:dyDescent="0.25">
      <c r="A424" t="s">
        <v>432</v>
      </c>
      <c r="B424" s="1">
        <v>44993</v>
      </c>
      <c r="C424" t="s">
        <v>1013</v>
      </c>
      <c r="D424" t="s">
        <v>1016</v>
      </c>
      <c r="E424" t="s">
        <v>1023</v>
      </c>
      <c r="F424" t="s">
        <v>1032</v>
      </c>
      <c r="G424">
        <v>3</v>
      </c>
      <c r="H424">
        <v>20279</v>
      </c>
      <c r="I424">
        <v>20</v>
      </c>
      <c r="J424" t="s">
        <v>1037</v>
      </c>
      <c r="K424">
        <v>48669.600000000013</v>
      </c>
    </row>
    <row r="425" spans="1:11" x14ac:dyDescent="0.25">
      <c r="A425" t="s">
        <v>433</v>
      </c>
      <c r="B425" s="1">
        <v>45253</v>
      </c>
      <c r="C425" t="s">
        <v>1011</v>
      </c>
      <c r="D425" t="s">
        <v>1018</v>
      </c>
      <c r="E425" t="s">
        <v>1024</v>
      </c>
      <c r="F425" t="s">
        <v>1032</v>
      </c>
      <c r="G425">
        <v>10</v>
      </c>
      <c r="H425">
        <v>5090</v>
      </c>
      <c r="I425">
        <v>10</v>
      </c>
      <c r="J425" t="s">
        <v>1037</v>
      </c>
      <c r="K425">
        <v>45810</v>
      </c>
    </row>
    <row r="426" spans="1:11" x14ac:dyDescent="0.25">
      <c r="A426" t="s">
        <v>434</v>
      </c>
      <c r="B426" s="1">
        <v>45061</v>
      </c>
      <c r="C426" t="s">
        <v>1012</v>
      </c>
      <c r="D426" t="s">
        <v>1017</v>
      </c>
      <c r="E426" t="s">
        <v>1023</v>
      </c>
      <c r="F426" t="s">
        <v>1032</v>
      </c>
      <c r="G426">
        <v>5</v>
      </c>
      <c r="H426">
        <v>25197</v>
      </c>
      <c r="I426">
        <v>15</v>
      </c>
      <c r="J426" t="s">
        <v>1038</v>
      </c>
      <c r="K426">
        <v>107087.25</v>
      </c>
    </row>
    <row r="427" spans="1:11" x14ac:dyDescent="0.25">
      <c r="A427" t="s">
        <v>435</v>
      </c>
      <c r="B427" s="1">
        <v>45009</v>
      </c>
      <c r="C427" t="s">
        <v>1012</v>
      </c>
      <c r="D427" t="s">
        <v>1021</v>
      </c>
      <c r="E427" t="s">
        <v>1030</v>
      </c>
      <c r="F427" t="s">
        <v>1032</v>
      </c>
      <c r="G427">
        <v>6</v>
      </c>
      <c r="H427">
        <v>36971</v>
      </c>
      <c r="I427">
        <v>20</v>
      </c>
      <c r="J427" t="s">
        <v>1038</v>
      </c>
      <c r="K427">
        <v>177460.8</v>
      </c>
    </row>
    <row r="428" spans="1:11" x14ac:dyDescent="0.25">
      <c r="A428" t="s">
        <v>436</v>
      </c>
      <c r="B428" s="1">
        <v>45153</v>
      </c>
      <c r="C428" t="s">
        <v>1010</v>
      </c>
      <c r="D428" t="s">
        <v>1021</v>
      </c>
      <c r="E428" t="s">
        <v>1031</v>
      </c>
      <c r="F428" t="s">
        <v>1034</v>
      </c>
      <c r="G428">
        <v>7</v>
      </c>
      <c r="H428">
        <v>4481</v>
      </c>
      <c r="I428">
        <v>15</v>
      </c>
      <c r="J428" t="s">
        <v>1038</v>
      </c>
      <c r="K428">
        <v>26661.95</v>
      </c>
    </row>
    <row r="429" spans="1:11" x14ac:dyDescent="0.25">
      <c r="A429" t="s">
        <v>437</v>
      </c>
      <c r="B429" s="1">
        <v>45209</v>
      </c>
      <c r="C429" t="s">
        <v>1011</v>
      </c>
      <c r="D429" t="s">
        <v>1019</v>
      </c>
      <c r="E429" t="s">
        <v>1029</v>
      </c>
      <c r="F429" t="s">
        <v>1033</v>
      </c>
      <c r="G429">
        <v>6</v>
      </c>
      <c r="H429">
        <v>1055</v>
      </c>
      <c r="I429">
        <v>5</v>
      </c>
      <c r="J429" t="s">
        <v>1036</v>
      </c>
      <c r="K429">
        <v>6013.5</v>
      </c>
    </row>
    <row r="430" spans="1:11" x14ac:dyDescent="0.25">
      <c r="A430" t="s">
        <v>438</v>
      </c>
      <c r="B430" s="1">
        <v>45288</v>
      </c>
      <c r="C430" t="s">
        <v>1012</v>
      </c>
      <c r="D430" t="s">
        <v>1020</v>
      </c>
      <c r="E430" t="s">
        <v>1025</v>
      </c>
      <c r="F430" t="s">
        <v>1032</v>
      </c>
      <c r="G430">
        <v>2</v>
      </c>
      <c r="H430">
        <v>47095</v>
      </c>
      <c r="I430">
        <v>0</v>
      </c>
      <c r="J430" t="s">
        <v>1038</v>
      </c>
      <c r="K430">
        <v>94190</v>
      </c>
    </row>
    <row r="431" spans="1:11" x14ac:dyDescent="0.25">
      <c r="A431" t="s">
        <v>439</v>
      </c>
      <c r="B431" s="1">
        <v>45145</v>
      </c>
      <c r="C431" t="s">
        <v>1011</v>
      </c>
      <c r="D431" t="s">
        <v>1014</v>
      </c>
      <c r="E431" t="s">
        <v>1031</v>
      </c>
      <c r="F431" t="s">
        <v>1032</v>
      </c>
      <c r="G431">
        <v>2</v>
      </c>
      <c r="H431">
        <v>37702</v>
      </c>
      <c r="I431">
        <v>0</v>
      </c>
      <c r="J431" t="s">
        <v>1039</v>
      </c>
      <c r="K431">
        <v>75404</v>
      </c>
    </row>
    <row r="432" spans="1:11" x14ac:dyDescent="0.25">
      <c r="A432" t="s">
        <v>440</v>
      </c>
      <c r="B432" s="1">
        <v>45214</v>
      </c>
      <c r="C432" t="s">
        <v>1011</v>
      </c>
      <c r="D432" t="s">
        <v>1020</v>
      </c>
      <c r="E432" t="s">
        <v>1031</v>
      </c>
      <c r="F432" t="s">
        <v>1032</v>
      </c>
      <c r="G432">
        <v>9</v>
      </c>
      <c r="H432">
        <v>24543</v>
      </c>
      <c r="I432">
        <v>5</v>
      </c>
      <c r="J432" t="s">
        <v>1037</v>
      </c>
      <c r="K432">
        <v>209842.65</v>
      </c>
    </row>
    <row r="433" spans="1:11" x14ac:dyDescent="0.25">
      <c r="A433" t="s">
        <v>441</v>
      </c>
      <c r="B433" s="1">
        <v>44931</v>
      </c>
      <c r="C433" t="s">
        <v>1012</v>
      </c>
      <c r="D433" t="s">
        <v>1018</v>
      </c>
      <c r="E433" t="s">
        <v>1025</v>
      </c>
      <c r="F433" t="s">
        <v>1034</v>
      </c>
      <c r="G433">
        <v>2</v>
      </c>
      <c r="H433">
        <v>8189</v>
      </c>
      <c r="I433">
        <v>10</v>
      </c>
      <c r="J433" t="s">
        <v>1037</v>
      </c>
      <c r="K433">
        <v>14740.2</v>
      </c>
    </row>
    <row r="434" spans="1:11" x14ac:dyDescent="0.25">
      <c r="A434" t="s">
        <v>442</v>
      </c>
      <c r="B434" s="1">
        <v>44984</v>
      </c>
      <c r="C434" t="s">
        <v>1010</v>
      </c>
      <c r="D434" t="s">
        <v>1018</v>
      </c>
      <c r="E434" t="s">
        <v>1022</v>
      </c>
      <c r="F434" t="s">
        <v>1034</v>
      </c>
      <c r="G434">
        <v>1</v>
      </c>
      <c r="H434">
        <v>19494</v>
      </c>
      <c r="I434">
        <v>10</v>
      </c>
      <c r="J434" t="s">
        <v>1035</v>
      </c>
      <c r="K434">
        <v>17544.599999999999</v>
      </c>
    </row>
    <row r="435" spans="1:11" x14ac:dyDescent="0.25">
      <c r="A435" t="s">
        <v>443</v>
      </c>
      <c r="B435" s="1">
        <v>44965</v>
      </c>
      <c r="C435" t="s">
        <v>1010</v>
      </c>
      <c r="D435" t="s">
        <v>1018</v>
      </c>
      <c r="E435" t="s">
        <v>1025</v>
      </c>
      <c r="F435" t="s">
        <v>1032</v>
      </c>
      <c r="G435">
        <v>3</v>
      </c>
      <c r="H435">
        <v>3043</v>
      </c>
      <c r="I435">
        <v>15</v>
      </c>
      <c r="J435" t="s">
        <v>1039</v>
      </c>
      <c r="K435">
        <v>7759.65</v>
      </c>
    </row>
    <row r="436" spans="1:11" x14ac:dyDescent="0.25">
      <c r="A436" t="s">
        <v>444</v>
      </c>
      <c r="B436" s="1">
        <v>45280</v>
      </c>
      <c r="C436" t="s">
        <v>1010</v>
      </c>
      <c r="D436" t="s">
        <v>1017</v>
      </c>
      <c r="E436" t="s">
        <v>1027</v>
      </c>
      <c r="F436" t="s">
        <v>1034</v>
      </c>
      <c r="G436">
        <v>3</v>
      </c>
      <c r="H436">
        <v>16416</v>
      </c>
      <c r="I436">
        <v>0</v>
      </c>
      <c r="J436" t="s">
        <v>1038</v>
      </c>
      <c r="K436">
        <v>49248</v>
      </c>
    </row>
    <row r="437" spans="1:11" x14ac:dyDescent="0.25">
      <c r="A437" t="s">
        <v>445</v>
      </c>
      <c r="B437" s="1">
        <v>45003</v>
      </c>
      <c r="C437" t="s">
        <v>1013</v>
      </c>
      <c r="D437" t="s">
        <v>1014</v>
      </c>
      <c r="E437" t="s">
        <v>1029</v>
      </c>
      <c r="F437" t="s">
        <v>1033</v>
      </c>
      <c r="G437">
        <v>1</v>
      </c>
      <c r="H437">
        <v>29292</v>
      </c>
      <c r="I437">
        <v>10</v>
      </c>
      <c r="J437" t="s">
        <v>1036</v>
      </c>
      <c r="K437">
        <v>26362.799999999999</v>
      </c>
    </row>
    <row r="438" spans="1:11" x14ac:dyDescent="0.25">
      <c r="A438" t="s">
        <v>446</v>
      </c>
      <c r="B438" s="1">
        <v>45206</v>
      </c>
      <c r="C438" t="s">
        <v>1012</v>
      </c>
      <c r="D438" t="s">
        <v>1014</v>
      </c>
      <c r="E438" t="s">
        <v>1030</v>
      </c>
      <c r="F438" t="s">
        <v>1034</v>
      </c>
      <c r="G438">
        <v>4</v>
      </c>
      <c r="H438">
        <v>47020</v>
      </c>
      <c r="I438">
        <v>15</v>
      </c>
      <c r="J438" t="s">
        <v>1035</v>
      </c>
      <c r="K438">
        <v>159868</v>
      </c>
    </row>
    <row r="439" spans="1:11" x14ac:dyDescent="0.25">
      <c r="A439" t="s">
        <v>447</v>
      </c>
      <c r="B439" s="1">
        <v>44945</v>
      </c>
      <c r="C439" t="s">
        <v>1013</v>
      </c>
      <c r="D439" t="s">
        <v>1015</v>
      </c>
      <c r="E439" t="s">
        <v>1026</v>
      </c>
      <c r="F439" t="s">
        <v>1034</v>
      </c>
      <c r="G439">
        <v>2</v>
      </c>
      <c r="H439">
        <v>39676</v>
      </c>
      <c r="I439">
        <v>5</v>
      </c>
      <c r="J439" t="s">
        <v>1036</v>
      </c>
      <c r="K439">
        <v>75384.399999999994</v>
      </c>
    </row>
    <row r="440" spans="1:11" x14ac:dyDescent="0.25">
      <c r="A440" t="s">
        <v>448</v>
      </c>
      <c r="B440" s="1">
        <v>45116</v>
      </c>
      <c r="C440" t="s">
        <v>1013</v>
      </c>
      <c r="D440" t="s">
        <v>1020</v>
      </c>
      <c r="E440" t="s">
        <v>1026</v>
      </c>
      <c r="F440" t="s">
        <v>1032</v>
      </c>
      <c r="G440">
        <v>8</v>
      </c>
      <c r="H440">
        <v>26838</v>
      </c>
      <c r="I440">
        <v>15</v>
      </c>
      <c r="J440" t="s">
        <v>1036</v>
      </c>
      <c r="K440">
        <v>182498.4</v>
      </c>
    </row>
    <row r="441" spans="1:11" x14ac:dyDescent="0.25">
      <c r="A441" t="s">
        <v>449</v>
      </c>
      <c r="B441" s="1">
        <v>45225</v>
      </c>
      <c r="C441" t="s">
        <v>1013</v>
      </c>
      <c r="D441" t="s">
        <v>1017</v>
      </c>
      <c r="E441" t="s">
        <v>1023</v>
      </c>
      <c r="F441" t="s">
        <v>1033</v>
      </c>
      <c r="G441">
        <v>4</v>
      </c>
      <c r="H441">
        <v>41974</v>
      </c>
      <c r="I441">
        <v>5</v>
      </c>
      <c r="J441" t="s">
        <v>1038</v>
      </c>
      <c r="K441">
        <v>159501.20000000001</v>
      </c>
    </row>
    <row r="442" spans="1:11" x14ac:dyDescent="0.25">
      <c r="A442" t="s">
        <v>450</v>
      </c>
      <c r="B442" s="1">
        <v>45209</v>
      </c>
      <c r="C442" t="s">
        <v>1011</v>
      </c>
      <c r="D442" t="s">
        <v>1018</v>
      </c>
      <c r="E442" t="s">
        <v>1028</v>
      </c>
      <c r="F442" t="s">
        <v>1034</v>
      </c>
      <c r="G442">
        <v>2</v>
      </c>
      <c r="H442">
        <v>21848</v>
      </c>
      <c r="I442">
        <v>0</v>
      </c>
      <c r="J442" t="s">
        <v>1038</v>
      </c>
      <c r="K442">
        <v>43696</v>
      </c>
    </row>
    <row r="443" spans="1:11" x14ac:dyDescent="0.25">
      <c r="A443" t="s">
        <v>451</v>
      </c>
      <c r="B443" s="1">
        <v>45002</v>
      </c>
      <c r="C443" t="s">
        <v>1011</v>
      </c>
      <c r="D443" t="s">
        <v>1016</v>
      </c>
      <c r="E443" t="s">
        <v>1024</v>
      </c>
      <c r="F443" t="s">
        <v>1032</v>
      </c>
      <c r="G443">
        <v>1</v>
      </c>
      <c r="H443">
        <v>47646</v>
      </c>
      <c r="I443">
        <v>0</v>
      </c>
      <c r="J443" t="s">
        <v>1038</v>
      </c>
      <c r="K443">
        <v>47646</v>
      </c>
    </row>
    <row r="444" spans="1:11" x14ac:dyDescent="0.25">
      <c r="A444" t="s">
        <v>452</v>
      </c>
      <c r="B444" s="1">
        <v>45147</v>
      </c>
      <c r="C444" t="s">
        <v>1012</v>
      </c>
      <c r="D444" t="s">
        <v>1020</v>
      </c>
      <c r="E444" t="s">
        <v>1027</v>
      </c>
      <c r="F444" t="s">
        <v>1033</v>
      </c>
      <c r="G444">
        <v>10</v>
      </c>
      <c r="H444">
        <v>26086</v>
      </c>
      <c r="I444">
        <v>10</v>
      </c>
      <c r="J444" t="s">
        <v>1039</v>
      </c>
      <c r="K444">
        <v>234774</v>
      </c>
    </row>
    <row r="445" spans="1:11" x14ac:dyDescent="0.25">
      <c r="A445" t="s">
        <v>453</v>
      </c>
      <c r="B445" s="1">
        <v>44992</v>
      </c>
      <c r="C445" t="s">
        <v>1012</v>
      </c>
      <c r="D445" t="s">
        <v>1014</v>
      </c>
      <c r="E445" t="s">
        <v>1022</v>
      </c>
      <c r="F445" t="s">
        <v>1032</v>
      </c>
      <c r="G445">
        <v>7</v>
      </c>
      <c r="H445">
        <v>27609</v>
      </c>
      <c r="I445">
        <v>15</v>
      </c>
      <c r="J445" t="s">
        <v>1039</v>
      </c>
      <c r="K445">
        <v>164273.54999999999</v>
      </c>
    </row>
    <row r="446" spans="1:11" x14ac:dyDescent="0.25">
      <c r="A446" t="s">
        <v>454</v>
      </c>
      <c r="B446" s="1">
        <v>44948</v>
      </c>
      <c r="C446" t="s">
        <v>1011</v>
      </c>
      <c r="D446" t="s">
        <v>1021</v>
      </c>
      <c r="E446" t="s">
        <v>1028</v>
      </c>
      <c r="F446" t="s">
        <v>1032</v>
      </c>
      <c r="G446">
        <v>8</v>
      </c>
      <c r="H446">
        <v>26006</v>
      </c>
      <c r="I446">
        <v>0</v>
      </c>
      <c r="J446" t="s">
        <v>1039</v>
      </c>
      <c r="K446">
        <v>208048</v>
      </c>
    </row>
    <row r="447" spans="1:11" x14ac:dyDescent="0.25">
      <c r="A447" t="s">
        <v>455</v>
      </c>
      <c r="B447" s="1">
        <v>45084</v>
      </c>
      <c r="C447" t="s">
        <v>1011</v>
      </c>
      <c r="D447" t="s">
        <v>1021</v>
      </c>
      <c r="E447" t="s">
        <v>1029</v>
      </c>
      <c r="F447" t="s">
        <v>1034</v>
      </c>
      <c r="G447">
        <v>9</v>
      </c>
      <c r="H447">
        <v>29520</v>
      </c>
      <c r="I447">
        <v>20</v>
      </c>
      <c r="J447" t="s">
        <v>1035</v>
      </c>
      <c r="K447">
        <v>212544</v>
      </c>
    </row>
    <row r="448" spans="1:11" x14ac:dyDescent="0.25">
      <c r="A448" t="s">
        <v>456</v>
      </c>
      <c r="B448" s="1">
        <v>45113</v>
      </c>
      <c r="C448" t="s">
        <v>1013</v>
      </c>
      <c r="D448" t="s">
        <v>1017</v>
      </c>
      <c r="E448" t="s">
        <v>1024</v>
      </c>
      <c r="F448" t="s">
        <v>1034</v>
      </c>
      <c r="G448">
        <v>10</v>
      </c>
      <c r="H448">
        <v>36724</v>
      </c>
      <c r="I448">
        <v>10</v>
      </c>
      <c r="J448" t="s">
        <v>1036</v>
      </c>
      <c r="K448">
        <v>330516</v>
      </c>
    </row>
    <row r="449" spans="1:11" x14ac:dyDescent="0.25">
      <c r="A449" t="s">
        <v>457</v>
      </c>
      <c r="B449" s="1">
        <v>44947</v>
      </c>
      <c r="C449" t="s">
        <v>1010</v>
      </c>
      <c r="D449" t="s">
        <v>1019</v>
      </c>
      <c r="E449" t="s">
        <v>1028</v>
      </c>
      <c r="F449" t="s">
        <v>1033</v>
      </c>
      <c r="G449">
        <v>10</v>
      </c>
      <c r="H449">
        <v>14842</v>
      </c>
      <c r="I449">
        <v>20</v>
      </c>
      <c r="J449" t="s">
        <v>1038</v>
      </c>
      <c r="K449">
        <v>118736</v>
      </c>
    </row>
    <row r="450" spans="1:11" x14ac:dyDescent="0.25">
      <c r="A450" t="s">
        <v>458</v>
      </c>
      <c r="B450" s="1">
        <v>45110</v>
      </c>
      <c r="C450" t="s">
        <v>1010</v>
      </c>
      <c r="D450" t="s">
        <v>1014</v>
      </c>
      <c r="E450" t="s">
        <v>1024</v>
      </c>
      <c r="F450" t="s">
        <v>1033</v>
      </c>
      <c r="G450">
        <v>5</v>
      </c>
      <c r="H450">
        <v>44416</v>
      </c>
      <c r="I450">
        <v>15</v>
      </c>
      <c r="J450" t="s">
        <v>1038</v>
      </c>
      <c r="K450">
        <v>188768</v>
      </c>
    </row>
    <row r="451" spans="1:11" x14ac:dyDescent="0.25">
      <c r="A451" t="s">
        <v>459</v>
      </c>
      <c r="B451" s="1">
        <v>45034</v>
      </c>
      <c r="C451" t="s">
        <v>1010</v>
      </c>
      <c r="D451" t="s">
        <v>1020</v>
      </c>
      <c r="E451" t="s">
        <v>1028</v>
      </c>
      <c r="F451" t="s">
        <v>1033</v>
      </c>
      <c r="G451">
        <v>1</v>
      </c>
      <c r="H451">
        <v>12364</v>
      </c>
      <c r="I451">
        <v>20</v>
      </c>
      <c r="J451" t="s">
        <v>1038</v>
      </c>
      <c r="K451">
        <v>9891.2000000000007</v>
      </c>
    </row>
    <row r="452" spans="1:11" x14ac:dyDescent="0.25">
      <c r="A452" t="s">
        <v>460</v>
      </c>
      <c r="B452" s="1">
        <v>45276</v>
      </c>
      <c r="C452" t="s">
        <v>1010</v>
      </c>
      <c r="D452" t="s">
        <v>1019</v>
      </c>
      <c r="E452" t="s">
        <v>1031</v>
      </c>
      <c r="F452" t="s">
        <v>1032</v>
      </c>
      <c r="G452">
        <v>6</v>
      </c>
      <c r="H452">
        <v>32121</v>
      </c>
      <c r="I452">
        <v>15</v>
      </c>
      <c r="J452" t="s">
        <v>1039</v>
      </c>
      <c r="K452">
        <v>163817.1</v>
      </c>
    </row>
    <row r="453" spans="1:11" x14ac:dyDescent="0.25">
      <c r="A453" t="s">
        <v>461</v>
      </c>
      <c r="B453" s="1">
        <v>45054</v>
      </c>
      <c r="C453" t="s">
        <v>1010</v>
      </c>
      <c r="D453" t="s">
        <v>1014</v>
      </c>
      <c r="E453" t="s">
        <v>1027</v>
      </c>
      <c r="F453" t="s">
        <v>1034</v>
      </c>
      <c r="G453">
        <v>4</v>
      </c>
      <c r="H453">
        <v>10114</v>
      </c>
      <c r="I453">
        <v>10</v>
      </c>
      <c r="J453" t="s">
        <v>1039</v>
      </c>
      <c r="K453">
        <v>36410.400000000001</v>
      </c>
    </row>
    <row r="454" spans="1:11" x14ac:dyDescent="0.25">
      <c r="A454" t="s">
        <v>462</v>
      </c>
      <c r="B454" s="1">
        <v>45268</v>
      </c>
      <c r="C454" t="s">
        <v>1013</v>
      </c>
      <c r="D454" t="s">
        <v>1015</v>
      </c>
      <c r="E454" t="s">
        <v>1022</v>
      </c>
      <c r="F454" t="s">
        <v>1034</v>
      </c>
      <c r="G454">
        <v>10</v>
      </c>
      <c r="H454">
        <v>13335</v>
      </c>
      <c r="I454">
        <v>15</v>
      </c>
      <c r="J454" t="s">
        <v>1039</v>
      </c>
      <c r="K454">
        <v>113347.5</v>
      </c>
    </row>
    <row r="455" spans="1:11" x14ac:dyDescent="0.25">
      <c r="A455" t="s">
        <v>463</v>
      </c>
      <c r="B455" s="1">
        <v>44979</v>
      </c>
      <c r="C455" t="s">
        <v>1012</v>
      </c>
      <c r="D455" t="s">
        <v>1016</v>
      </c>
      <c r="E455" t="s">
        <v>1031</v>
      </c>
      <c r="F455" t="s">
        <v>1032</v>
      </c>
      <c r="G455">
        <v>2</v>
      </c>
      <c r="H455">
        <v>37400</v>
      </c>
      <c r="I455">
        <v>0</v>
      </c>
      <c r="J455" t="s">
        <v>1038</v>
      </c>
      <c r="K455">
        <v>74800</v>
      </c>
    </row>
    <row r="456" spans="1:11" x14ac:dyDescent="0.25">
      <c r="A456" t="s">
        <v>464</v>
      </c>
      <c r="B456" s="1">
        <v>45108</v>
      </c>
      <c r="C456" t="s">
        <v>1011</v>
      </c>
      <c r="D456" t="s">
        <v>1014</v>
      </c>
      <c r="E456" t="s">
        <v>1025</v>
      </c>
      <c r="F456" t="s">
        <v>1032</v>
      </c>
      <c r="G456">
        <v>1</v>
      </c>
      <c r="H456">
        <v>26204</v>
      </c>
      <c r="I456">
        <v>10</v>
      </c>
      <c r="J456" t="s">
        <v>1037</v>
      </c>
      <c r="K456">
        <v>23583.599999999999</v>
      </c>
    </row>
    <row r="457" spans="1:11" x14ac:dyDescent="0.25">
      <c r="A457" t="s">
        <v>465</v>
      </c>
      <c r="B457" s="1">
        <v>45213</v>
      </c>
      <c r="C457" t="s">
        <v>1013</v>
      </c>
      <c r="D457" t="s">
        <v>1021</v>
      </c>
      <c r="E457" t="s">
        <v>1026</v>
      </c>
      <c r="F457" t="s">
        <v>1033</v>
      </c>
      <c r="G457">
        <v>4</v>
      </c>
      <c r="H457">
        <v>24611</v>
      </c>
      <c r="I457">
        <v>20</v>
      </c>
      <c r="J457" t="s">
        <v>1036</v>
      </c>
      <c r="K457">
        <v>78755.200000000012</v>
      </c>
    </row>
    <row r="458" spans="1:11" x14ac:dyDescent="0.25">
      <c r="A458" t="s">
        <v>466</v>
      </c>
      <c r="B458" s="1">
        <v>45135</v>
      </c>
      <c r="C458" t="s">
        <v>1010</v>
      </c>
      <c r="D458" t="s">
        <v>1015</v>
      </c>
      <c r="E458" t="s">
        <v>1024</v>
      </c>
      <c r="F458" t="s">
        <v>1034</v>
      </c>
      <c r="G458">
        <v>8</v>
      </c>
      <c r="H458">
        <v>28343</v>
      </c>
      <c r="I458">
        <v>20</v>
      </c>
      <c r="J458" t="s">
        <v>1039</v>
      </c>
      <c r="K458">
        <v>181395.20000000001</v>
      </c>
    </row>
    <row r="459" spans="1:11" x14ac:dyDescent="0.25">
      <c r="A459" t="s">
        <v>467</v>
      </c>
      <c r="B459" s="1">
        <v>45244</v>
      </c>
      <c r="C459" t="s">
        <v>1011</v>
      </c>
      <c r="D459" t="s">
        <v>1018</v>
      </c>
      <c r="E459" t="s">
        <v>1029</v>
      </c>
      <c r="F459" t="s">
        <v>1032</v>
      </c>
      <c r="G459">
        <v>2</v>
      </c>
      <c r="H459">
        <v>11110</v>
      </c>
      <c r="I459">
        <v>0</v>
      </c>
      <c r="J459" t="s">
        <v>1036</v>
      </c>
      <c r="K459">
        <v>22220</v>
      </c>
    </row>
    <row r="460" spans="1:11" x14ac:dyDescent="0.25">
      <c r="A460" t="s">
        <v>468</v>
      </c>
      <c r="B460" s="1">
        <v>45006</v>
      </c>
      <c r="C460" t="s">
        <v>1013</v>
      </c>
      <c r="D460" t="s">
        <v>1020</v>
      </c>
      <c r="E460" t="s">
        <v>1028</v>
      </c>
      <c r="F460" t="s">
        <v>1032</v>
      </c>
      <c r="G460">
        <v>8</v>
      </c>
      <c r="H460">
        <v>19905</v>
      </c>
      <c r="I460">
        <v>10</v>
      </c>
      <c r="J460" t="s">
        <v>1038</v>
      </c>
      <c r="K460">
        <v>143316</v>
      </c>
    </row>
    <row r="461" spans="1:11" x14ac:dyDescent="0.25">
      <c r="A461" t="s">
        <v>469</v>
      </c>
      <c r="B461" s="1">
        <v>45048</v>
      </c>
      <c r="C461" t="s">
        <v>1010</v>
      </c>
      <c r="D461" t="s">
        <v>1019</v>
      </c>
      <c r="E461" t="s">
        <v>1027</v>
      </c>
      <c r="F461" t="s">
        <v>1033</v>
      </c>
      <c r="G461">
        <v>1</v>
      </c>
      <c r="H461">
        <v>44913</v>
      </c>
      <c r="I461">
        <v>5</v>
      </c>
      <c r="J461" t="s">
        <v>1039</v>
      </c>
      <c r="K461">
        <v>42667.35</v>
      </c>
    </row>
    <row r="462" spans="1:11" x14ac:dyDescent="0.25">
      <c r="A462" t="s">
        <v>470</v>
      </c>
      <c r="B462" s="1">
        <v>45010</v>
      </c>
      <c r="C462" t="s">
        <v>1013</v>
      </c>
      <c r="D462" t="s">
        <v>1015</v>
      </c>
      <c r="E462" t="s">
        <v>1028</v>
      </c>
      <c r="F462" t="s">
        <v>1033</v>
      </c>
      <c r="G462">
        <v>6</v>
      </c>
      <c r="H462">
        <v>9227</v>
      </c>
      <c r="I462">
        <v>20</v>
      </c>
      <c r="J462" t="s">
        <v>1035</v>
      </c>
      <c r="K462">
        <v>44289.600000000013</v>
      </c>
    </row>
    <row r="463" spans="1:11" x14ac:dyDescent="0.25">
      <c r="A463" t="s">
        <v>471</v>
      </c>
      <c r="B463" s="1">
        <v>45017</v>
      </c>
      <c r="C463" t="s">
        <v>1011</v>
      </c>
      <c r="D463" t="s">
        <v>1021</v>
      </c>
      <c r="E463" t="s">
        <v>1027</v>
      </c>
      <c r="F463" t="s">
        <v>1033</v>
      </c>
      <c r="G463">
        <v>9</v>
      </c>
      <c r="H463">
        <v>9800</v>
      </c>
      <c r="I463">
        <v>0</v>
      </c>
      <c r="J463" t="s">
        <v>1039</v>
      </c>
      <c r="K463">
        <v>88200</v>
      </c>
    </row>
    <row r="464" spans="1:11" x14ac:dyDescent="0.25">
      <c r="A464" t="s">
        <v>472</v>
      </c>
      <c r="B464" s="1">
        <v>45138</v>
      </c>
      <c r="C464" t="s">
        <v>1012</v>
      </c>
      <c r="D464" t="s">
        <v>1018</v>
      </c>
      <c r="E464" t="s">
        <v>1027</v>
      </c>
      <c r="F464" t="s">
        <v>1033</v>
      </c>
      <c r="G464">
        <v>7</v>
      </c>
      <c r="H464">
        <v>1760</v>
      </c>
      <c r="I464">
        <v>5</v>
      </c>
      <c r="J464" t="s">
        <v>1036</v>
      </c>
      <c r="K464">
        <v>11704</v>
      </c>
    </row>
    <row r="465" spans="1:11" x14ac:dyDescent="0.25">
      <c r="A465" t="s">
        <v>473</v>
      </c>
      <c r="B465" s="1">
        <v>44939</v>
      </c>
      <c r="C465" t="s">
        <v>1010</v>
      </c>
      <c r="D465" t="s">
        <v>1016</v>
      </c>
      <c r="E465" t="s">
        <v>1030</v>
      </c>
      <c r="F465" t="s">
        <v>1034</v>
      </c>
      <c r="G465">
        <v>6</v>
      </c>
      <c r="H465">
        <v>5701</v>
      </c>
      <c r="I465">
        <v>10</v>
      </c>
      <c r="J465" t="s">
        <v>1035</v>
      </c>
      <c r="K465">
        <v>30785.4</v>
      </c>
    </row>
    <row r="466" spans="1:11" x14ac:dyDescent="0.25">
      <c r="A466" t="s">
        <v>474</v>
      </c>
      <c r="B466" s="1">
        <v>45018</v>
      </c>
      <c r="C466" t="s">
        <v>1011</v>
      </c>
      <c r="D466" t="s">
        <v>1018</v>
      </c>
      <c r="E466" t="s">
        <v>1026</v>
      </c>
      <c r="F466" t="s">
        <v>1034</v>
      </c>
      <c r="G466">
        <v>1</v>
      </c>
      <c r="H466">
        <v>43492</v>
      </c>
      <c r="I466">
        <v>15</v>
      </c>
      <c r="J466" t="s">
        <v>1038</v>
      </c>
      <c r="K466">
        <v>36968.199999999997</v>
      </c>
    </row>
    <row r="467" spans="1:11" x14ac:dyDescent="0.25">
      <c r="A467" t="s">
        <v>475</v>
      </c>
      <c r="B467" s="1">
        <v>45097</v>
      </c>
      <c r="C467" t="s">
        <v>1011</v>
      </c>
      <c r="D467" t="s">
        <v>1015</v>
      </c>
      <c r="E467" t="s">
        <v>1031</v>
      </c>
      <c r="F467" t="s">
        <v>1033</v>
      </c>
      <c r="G467">
        <v>10</v>
      </c>
      <c r="H467">
        <v>2029</v>
      </c>
      <c r="I467">
        <v>5</v>
      </c>
      <c r="J467" t="s">
        <v>1038</v>
      </c>
      <c r="K467">
        <v>19275.5</v>
      </c>
    </row>
    <row r="468" spans="1:11" x14ac:dyDescent="0.25">
      <c r="A468" t="s">
        <v>476</v>
      </c>
      <c r="B468" s="1">
        <v>45137</v>
      </c>
      <c r="C468" t="s">
        <v>1012</v>
      </c>
      <c r="D468" t="s">
        <v>1020</v>
      </c>
      <c r="E468" t="s">
        <v>1030</v>
      </c>
      <c r="F468" t="s">
        <v>1034</v>
      </c>
      <c r="G468">
        <v>5</v>
      </c>
      <c r="H468">
        <v>10436</v>
      </c>
      <c r="I468">
        <v>10</v>
      </c>
      <c r="J468" t="s">
        <v>1036</v>
      </c>
      <c r="K468">
        <v>46962</v>
      </c>
    </row>
    <row r="469" spans="1:11" x14ac:dyDescent="0.25">
      <c r="A469" t="s">
        <v>477</v>
      </c>
      <c r="B469" s="1">
        <v>45269</v>
      </c>
      <c r="C469" t="s">
        <v>1013</v>
      </c>
      <c r="D469" t="s">
        <v>1016</v>
      </c>
      <c r="E469" t="s">
        <v>1030</v>
      </c>
      <c r="F469" t="s">
        <v>1034</v>
      </c>
      <c r="G469">
        <v>9</v>
      </c>
      <c r="H469">
        <v>48273</v>
      </c>
      <c r="I469">
        <v>5</v>
      </c>
      <c r="J469" t="s">
        <v>1038</v>
      </c>
      <c r="K469">
        <v>412734.15</v>
      </c>
    </row>
    <row r="470" spans="1:11" x14ac:dyDescent="0.25">
      <c r="A470" t="s">
        <v>478</v>
      </c>
      <c r="B470" s="1">
        <v>45054</v>
      </c>
      <c r="C470" t="s">
        <v>1012</v>
      </c>
      <c r="D470" t="s">
        <v>1014</v>
      </c>
      <c r="E470" t="s">
        <v>1022</v>
      </c>
      <c r="F470" t="s">
        <v>1032</v>
      </c>
      <c r="G470">
        <v>1</v>
      </c>
      <c r="H470">
        <v>32896</v>
      </c>
      <c r="I470">
        <v>0</v>
      </c>
      <c r="J470" t="s">
        <v>1039</v>
      </c>
      <c r="K470">
        <v>32896</v>
      </c>
    </row>
    <row r="471" spans="1:11" x14ac:dyDescent="0.25">
      <c r="A471" t="s">
        <v>479</v>
      </c>
      <c r="B471" s="1">
        <v>45063</v>
      </c>
      <c r="C471" t="s">
        <v>1012</v>
      </c>
      <c r="D471" t="s">
        <v>1020</v>
      </c>
      <c r="E471" t="s">
        <v>1022</v>
      </c>
      <c r="F471" t="s">
        <v>1034</v>
      </c>
      <c r="G471">
        <v>2</v>
      </c>
      <c r="H471">
        <v>44117</v>
      </c>
      <c r="I471">
        <v>10</v>
      </c>
      <c r="J471" t="s">
        <v>1035</v>
      </c>
      <c r="K471">
        <v>79410.600000000006</v>
      </c>
    </row>
    <row r="472" spans="1:11" x14ac:dyDescent="0.25">
      <c r="A472" t="s">
        <v>480</v>
      </c>
      <c r="B472" s="1">
        <v>45008</v>
      </c>
      <c r="C472" t="s">
        <v>1013</v>
      </c>
      <c r="D472" t="s">
        <v>1018</v>
      </c>
      <c r="E472" t="s">
        <v>1030</v>
      </c>
      <c r="F472" t="s">
        <v>1034</v>
      </c>
      <c r="G472">
        <v>5</v>
      </c>
      <c r="H472">
        <v>29621</v>
      </c>
      <c r="I472">
        <v>10</v>
      </c>
      <c r="J472" t="s">
        <v>1038</v>
      </c>
      <c r="K472">
        <v>133294.5</v>
      </c>
    </row>
    <row r="473" spans="1:11" x14ac:dyDescent="0.25">
      <c r="A473" t="s">
        <v>481</v>
      </c>
      <c r="B473" s="1">
        <v>45286</v>
      </c>
      <c r="C473" t="s">
        <v>1013</v>
      </c>
      <c r="D473" t="s">
        <v>1021</v>
      </c>
      <c r="E473" t="s">
        <v>1029</v>
      </c>
      <c r="F473" t="s">
        <v>1033</v>
      </c>
      <c r="G473">
        <v>2</v>
      </c>
      <c r="H473">
        <v>9898</v>
      </c>
      <c r="I473">
        <v>15</v>
      </c>
      <c r="J473" t="s">
        <v>1038</v>
      </c>
      <c r="K473">
        <v>16826.599999999999</v>
      </c>
    </row>
    <row r="474" spans="1:11" x14ac:dyDescent="0.25">
      <c r="A474" t="s">
        <v>482</v>
      </c>
      <c r="B474" s="1">
        <v>44982</v>
      </c>
      <c r="C474" t="s">
        <v>1013</v>
      </c>
      <c r="D474" t="s">
        <v>1020</v>
      </c>
      <c r="E474" t="s">
        <v>1024</v>
      </c>
      <c r="F474" t="s">
        <v>1033</v>
      </c>
      <c r="G474">
        <v>4</v>
      </c>
      <c r="H474">
        <v>6548</v>
      </c>
      <c r="I474">
        <v>10</v>
      </c>
      <c r="J474" t="s">
        <v>1036</v>
      </c>
      <c r="K474">
        <v>23572.799999999999</v>
      </c>
    </row>
    <row r="475" spans="1:11" x14ac:dyDescent="0.25">
      <c r="A475" t="s">
        <v>483</v>
      </c>
      <c r="B475" s="1">
        <v>45122</v>
      </c>
      <c r="C475" t="s">
        <v>1011</v>
      </c>
      <c r="D475" t="s">
        <v>1016</v>
      </c>
      <c r="E475" t="s">
        <v>1026</v>
      </c>
      <c r="F475" t="s">
        <v>1033</v>
      </c>
      <c r="G475">
        <v>9</v>
      </c>
      <c r="H475">
        <v>9992</v>
      </c>
      <c r="I475">
        <v>0</v>
      </c>
      <c r="J475" t="s">
        <v>1037</v>
      </c>
      <c r="K475">
        <v>89928</v>
      </c>
    </row>
    <row r="476" spans="1:11" x14ac:dyDescent="0.25">
      <c r="A476" t="s">
        <v>484</v>
      </c>
      <c r="B476" s="1">
        <v>44946</v>
      </c>
      <c r="C476" t="s">
        <v>1011</v>
      </c>
      <c r="D476" t="s">
        <v>1018</v>
      </c>
      <c r="E476" t="s">
        <v>1024</v>
      </c>
      <c r="F476" t="s">
        <v>1032</v>
      </c>
      <c r="G476">
        <v>2</v>
      </c>
      <c r="H476">
        <v>43090</v>
      </c>
      <c r="I476">
        <v>10</v>
      </c>
      <c r="J476" t="s">
        <v>1035</v>
      </c>
      <c r="K476">
        <v>77562</v>
      </c>
    </row>
    <row r="477" spans="1:11" x14ac:dyDescent="0.25">
      <c r="A477" t="s">
        <v>485</v>
      </c>
      <c r="B477" s="1">
        <v>45167</v>
      </c>
      <c r="C477" t="s">
        <v>1010</v>
      </c>
      <c r="D477" t="s">
        <v>1016</v>
      </c>
      <c r="E477" t="s">
        <v>1022</v>
      </c>
      <c r="F477" t="s">
        <v>1032</v>
      </c>
      <c r="G477">
        <v>2</v>
      </c>
      <c r="H477">
        <v>28253</v>
      </c>
      <c r="I477">
        <v>10</v>
      </c>
      <c r="J477" t="s">
        <v>1037</v>
      </c>
      <c r="K477">
        <v>50855.4</v>
      </c>
    </row>
    <row r="478" spans="1:11" x14ac:dyDescent="0.25">
      <c r="A478" t="s">
        <v>486</v>
      </c>
      <c r="B478" s="1">
        <v>45040</v>
      </c>
      <c r="C478" t="s">
        <v>1010</v>
      </c>
      <c r="D478" t="s">
        <v>1014</v>
      </c>
      <c r="E478" t="s">
        <v>1030</v>
      </c>
      <c r="F478" t="s">
        <v>1033</v>
      </c>
      <c r="G478">
        <v>4</v>
      </c>
      <c r="H478">
        <v>30886</v>
      </c>
      <c r="I478">
        <v>20</v>
      </c>
      <c r="J478" t="s">
        <v>1038</v>
      </c>
      <c r="K478">
        <v>98835.200000000012</v>
      </c>
    </row>
    <row r="479" spans="1:11" x14ac:dyDescent="0.25">
      <c r="A479" t="s">
        <v>487</v>
      </c>
      <c r="B479" s="1">
        <v>45029</v>
      </c>
      <c r="C479" t="s">
        <v>1012</v>
      </c>
      <c r="D479" t="s">
        <v>1019</v>
      </c>
      <c r="E479" t="s">
        <v>1027</v>
      </c>
      <c r="F479" t="s">
        <v>1032</v>
      </c>
      <c r="G479">
        <v>9</v>
      </c>
      <c r="H479">
        <v>46573</v>
      </c>
      <c r="I479">
        <v>0</v>
      </c>
      <c r="J479" t="s">
        <v>1035</v>
      </c>
      <c r="K479">
        <v>419157</v>
      </c>
    </row>
    <row r="480" spans="1:11" x14ac:dyDescent="0.25">
      <c r="A480" t="s">
        <v>488</v>
      </c>
      <c r="B480" s="1">
        <v>45162</v>
      </c>
      <c r="C480" t="s">
        <v>1012</v>
      </c>
      <c r="D480" t="s">
        <v>1017</v>
      </c>
      <c r="E480" t="s">
        <v>1025</v>
      </c>
      <c r="F480" t="s">
        <v>1032</v>
      </c>
      <c r="G480">
        <v>7</v>
      </c>
      <c r="H480">
        <v>40611</v>
      </c>
      <c r="I480">
        <v>20</v>
      </c>
      <c r="J480" t="s">
        <v>1038</v>
      </c>
      <c r="K480">
        <v>227421.6</v>
      </c>
    </row>
    <row r="481" spans="1:11" x14ac:dyDescent="0.25">
      <c r="A481" t="s">
        <v>489</v>
      </c>
      <c r="B481" s="1">
        <v>45106</v>
      </c>
      <c r="C481" t="s">
        <v>1010</v>
      </c>
      <c r="D481" t="s">
        <v>1017</v>
      </c>
      <c r="E481" t="s">
        <v>1023</v>
      </c>
      <c r="F481" t="s">
        <v>1034</v>
      </c>
      <c r="G481">
        <v>4</v>
      </c>
      <c r="H481">
        <v>28898</v>
      </c>
      <c r="I481">
        <v>5</v>
      </c>
      <c r="J481" t="s">
        <v>1037</v>
      </c>
      <c r="K481">
        <v>109812.4</v>
      </c>
    </row>
    <row r="482" spans="1:11" x14ac:dyDescent="0.25">
      <c r="A482" t="s">
        <v>490</v>
      </c>
      <c r="B482" s="1">
        <v>45083</v>
      </c>
      <c r="C482" t="s">
        <v>1012</v>
      </c>
      <c r="D482" t="s">
        <v>1021</v>
      </c>
      <c r="E482" t="s">
        <v>1026</v>
      </c>
      <c r="F482" t="s">
        <v>1034</v>
      </c>
      <c r="G482">
        <v>4</v>
      </c>
      <c r="H482">
        <v>41845</v>
      </c>
      <c r="I482">
        <v>5</v>
      </c>
      <c r="J482" t="s">
        <v>1039</v>
      </c>
      <c r="K482">
        <v>159011</v>
      </c>
    </row>
    <row r="483" spans="1:11" x14ac:dyDescent="0.25">
      <c r="A483" t="s">
        <v>491</v>
      </c>
      <c r="B483" s="1">
        <v>45043</v>
      </c>
      <c r="C483" t="s">
        <v>1013</v>
      </c>
      <c r="D483" t="s">
        <v>1016</v>
      </c>
      <c r="E483" t="s">
        <v>1026</v>
      </c>
      <c r="F483" t="s">
        <v>1034</v>
      </c>
      <c r="G483">
        <v>9</v>
      </c>
      <c r="H483">
        <v>12783</v>
      </c>
      <c r="I483">
        <v>0</v>
      </c>
      <c r="J483" t="s">
        <v>1037</v>
      </c>
      <c r="K483">
        <v>115047</v>
      </c>
    </row>
    <row r="484" spans="1:11" x14ac:dyDescent="0.25">
      <c r="A484" t="s">
        <v>492</v>
      </c>
      <c r="B484" s="1">
        <v>45041</v>
      </c>
      <c r="C484" t="s">
        <v>1011</v>
      </c>
      <c r="D484" t="s">
        <v>1018</v>
      </c>
      <c r="E484" t="s">
        <v>1024</v>
      </c>
      <c r="F484" t="s">
        <v>1033</v>
      </c>
      <c r="G484">
        <v>4</v>
      </c>
      <c r="H484">
        <v>30779</v>
      </c>
      <c r="I484">
        <v>20</v>
      </c>
      <c r="J484" t="s">
        <v>1039</v>
      </c>
      <c r="K484">
        <v>98492.800000000003</v>
      </c>
    </row>
    <row r="485" spans="1:11" x14ac:dyDescent="0.25">
      <c r="A485" t="s">
        <v>493</v>
      </c>
      <c r="B485" s="1">
        <v>44939</v>
      </c>
      <c r="C485" t="s">
        <v>1010</v>
      </c>
      <c r="D485" t="s">
        <v>1018</v>
      </c>
      <c r="E485" t="s">
        <v>1028</v>
      </c>
      <c r="F485" t="s">
        <v>1033</v>
      </c>
      <c r="G485">
        <v>10</v>
      </c>
      <c r="H485">
        <v>34385</v>
      </c>
      <c r="I485">
        <v>5</v>
      </c>
      <c r="J485" t="s">
        <v>1035</v>
      </c>
      <c r="K485">
        <v>326657.5</v>
      </c>
    </row>
    <row r="486" spans="1:11" x14ac:dyDescent="0.25">
      <c r="A486" t="s">
        <v>494</v>
      </c>
      <c r="B486" s="1">
        <v>45264</v>
      </c>
      <c r="C486" t="s">
        <v>1011</v>
      </c>
      <c r="D486" t="s">
        <v>1015</v>
      </c>
      <c r="E486" t="s">
        <v>1024</v>
      </c>
      <c r="F486" t="s">
        <v>1033</v>
      </c>
      <c r="G486">
        <v>3</v>
      </c>
      <c r="H486">
        <v>28795</v>
      </c>
      <c r="I486">
        <v>20</v>
      </c>
      <c r="J486" t="s">
        <v>1039</v>
      </c>
      <c r="K486">
        <v>69108</v>
      </c>
    </row>
    <row r="487" spans="1:11" x14ac:dyDescent="0.25">
      <c r="A487" t="s">
        <v>495</v>
      </c>
      <c r="B487" s="1">
        <v>45025</v>
      </c>
      <c r="C487" t="s">
        <v>1010</v>
      </c>
      <c r="D487" t="s">
        <v>1018</v>
      </c>
      <c r="E487" t="s">
        <v>1028</v>
      </c>
      <c r="F487" t="s">
        <v>1032</v>
      </c>
      <c r="G487">
        <v>9</v>
      </c>
      <c r="H487">
        <v>37179</v>
      </c>
      <c r="I487">
        <v>10</v>
      </c>
      <c r="J487" t="s">
        <v>1038</v>
      </c>
      <c r="K487">
        <v>301149.90000000002</v>
      </c>
    </row>
    <row r="488" spans="1:11" x14ac:dyDescent="0.25">
      <c r="A488" t="s">
        <v>496</v>
      </c>
      <c r="B488" s="1">
        <v>45131</v>
      </c>
      <c r="C488" t="s">
        <v>1011</v>
      </c>
      <c r="D488" t="s">
        <v>1020</v>
      </c>
      <c r="E488" t="s">
        <v>1023</v>
      </c>
      <c r="F488" t="s">
        <v>1034</v>
      </c>
      <c r="G488">
        <v>9</v>
      </c>
      <c r="H488">
        <v>30494</v>
      </c>
      <c r="I488">
        <v>10</v>
      </c>
      <c r="J488" t="s">
        <v>1037</v>
      </c>
      <c r="K488">
        <v>247001.4</v>
      </c>
    </row>
    <row r="489" spans="1:11" x14ac:dyDescent="0.25">
      <c r="A489" t="s">
        <v>497</v>
      </c>
      <c r="B489" s="1">
        <v>45095</v>
      </c>
      <c r="C489" t="s">
        <v>1010</v>
      </c>
      <c r="D489" t="s">
        <v>1019</v>
      </c>
      <c r="E489" t="s">
        <v>1025</v>
      </c>
      <c r="F489" t="s">
        <v>1034</v>
      </c>
      <c r="G489">
        <v>7</v>
      </c>
      <c r="H489">
        <v>26212</v>
      </c>
      <c r="I489">
        <v>10</v>
      </c>
      <c r="J489" t="s">
        <v>1035</v>
      </c>
      <c r="K489">
        <v>165135.6</v>
      </c>
    </row>
    <row r="490" spans="1:11" x14ac:dyDescent="0.25">
      <c r="A490" t="s">
        <v>498</v>
      </c>
      <c r="B490" s="1">
        <v>45069</v>
      </c>
      <c r="C490" t="s">
        <v>1011</v>
      </c>
      <c r="D490" t="s">
        <v>1021</v>
      </c>
      <c r="E490" t="s">
        <v>1028</v>
      </c>
      <c r="F490" t="s">
        <v>1033</v>
      </c>
      <c r="G490">
        <v>2</v>
      </c>
      <c r="H490">
        <v>24285</v>
      </c>
      <c r="I490">
        <v>10</v>
      </c>
      <c r="J490" t="s">
        <v>1038</v>
      </c>
      <c r="K490">
        <v>43713</v>
      </c>
    </row>
    <row r="491" spans="1:11" x14ac:dyDescent="0.25">
      <c r="A491" t="s">
        <v>499</v>
      </c>
      <c r="B491" s="1">
        <v>44962</v>
      </c>
      <c r="C491" t="s">
        <v>1013</v>
      </c>
      <c r="D491" t="s">
        <v>1020</v>
      </c>
      <c r="E491" t="s">
        <v>1031</v>
      </c>
      <c r="F491" t="s">
        <v>1033</v>
      </c>
      <c r="G491">
        <v>10</v>
      </c>
      <c r="H491">
        <v>15794</v>
      </c>
      <c r="I491">
        <v>10</v>
      </c>
      <c r="J491" t="s">
        <v>1038</v>
      </c>
      <c r="K491">
        <v>142146</v>
      </c>
    </row>
    <row r="492" spans="1:11" x14ac:dyDescent="0.25">
      <c r="A492" t="s">
        <v>500</v>
      </c>
      <c r="B492" s="1">
        <v>45069</v>
      </c>
      <c r="C492" t="s">
        <v>1010</v>
      </c>
      <c r="D492" t="s">
        <v>1020</v>
      </c>
      <c r="E492" t="s">
        <v>1029</v>
      </c>
      <c r="F492" t="s">
        <v>1033</v>
      </c>
      <c r="G492">
        <v>6</v>
      </c>
      <c r="H492">
        <v>13176</v>
      </c>
      <c r="I492">
        <v>0</v>
      </c>
      <c r="J492" t="s">
        <v>1035</v>
      </c>
      <c r="K492">
        <v>79056</v>
      </c>
    </row>
    <row r="493" spans="1:11" x14ac:dyDescent="0.25">
      <c r="A493" t="s">
        <v>501</v>
      </c>
      <c r="B493" s="1">
        <v>45106</v>
      </c>
      <c r="C493" t="s">
        <v>1010</v>
      </c>
      <c r="D493" t="s">
        <v>1019</v>
      </c>
      <c r="E493" t="s">
        <v>1027</v>
      </c>
      <c r="F493" t="s">
        <v>1033</v>
      </c>
      <c r="G493">
        <v>8</v>
      </c>
      <c r="H493">
        <v>28837</v>
      </c>
      <c r="I493">
        <v>20</v>
      </c>
      <c r="J493" t="s">
        <v>1038</v>
      </c>
      <c r="K493">
        <v>184556.79999999999</v>
      </c>
    </row>
    <row r="494" spans="1:11" x14ac:dyDescent="0.25">
      <c r="A494" t="s">
        <v>502</v>
      </c>
      <c r="B494" s="1">
        <v>45255</v>
      </c>
      <c r="C494" t="s">
        <v>1010</v>
      </c>
      <c r="D494" t="s">
        <v>1015</v>
      </c>
      <c r="E494" t="s">
        <v>1027</v>
      </c>
      <c r="F494" t="s">
        <v>1033</v>
      </c>
      <c r="G494">
        <v>7</v>
      </c>
      <c r="H494">
        <v>40621</v>
      </c>
      <c r="I494">
        <v>20</v>
      </c>
      <c r="J494" t="s">
        <v>1037</v>
      </c>
      <c r="K494">
        <v>227477.6</v>
      </c>
    </row>
    <row r="495" spans="1:11" x14ac:dyDescent="0.25">
      <c r="A495" t="s">
        <v>503</v>
      </c>
      <c r="B495" s="1">
        <v>45187</v>
      </c>
      <c r="C495" t="s">
        <v>1013</v>
      </c>
      <c r="D495" t="s">
        <v>1018</v>
      </c>
      <c r="E495" t="s">
        <v>1028</v>
      </c>
      <c r="F495" t="s">
        <v>1033</v>
      </c>
      <c r="G495">
        <v>2</v>
      </c>
      <c r="H495">
        <v>1486</v>
      </c>
      <c r="I495">
        <v>10</v>
      </c>
      <c r="J495" t="s">
        <v>1039</v>
      </c>
      <c r="K495">
        <v>2674.8</v>
      </c>
    </row>
    <row r="496" spans="1:11" x14ac:dyDescent="0.25">
      <c r="A496" t="s">
        <v>504</v>
      </c>
      <c r="B496" s="1">
        <v>45131</v>
      </c>
      <c r="C496" t="s">
        <v>1011</v>
      </c>
      <c r="D496" t="s">
        <v>1015</v>
      </c>
      <c r="E496" t="s">
        <v>1024</v>
      </c>
      <c r="F496" t="s">
        <v>1033</v>
      </c>
      <c r="G496">
        <v>3</v>
      </c>
      <c r="H496">
        <v>38875</v>
      </c>
      <c r="I496">
        <v>5</v>
      </c>
      <c r="J496" t="s">
        <v>1037</v>
      </c>
      <c r="K496">
        <v>110793.75</v>
      </c>
    </row>
    <row r="497" spans="1:11" x14ac:dyDescent="0.25">
      <c r="A497" t="s">
        <v>505</v>
      </c>
      <c r="B497" s="1">
        <v>45274</v>
      </c>
      <c r="C497" t="s">
        <v>1010</v>
      </c>
      <c r="D497" t="s">
        <v>1018</v>
      </c>
      <c r="E497" t="s">
        <v>1026</v>
      </c>
      <c r="F497" t="s">
        <v>1034</v>
      </c>
      <c r="G497">
        <v>3</v>
      </c>
      <c r="H497">
        <v>33647</v>
      </c>
      <c r="I497">
        <v>0</v>
      </c>
      <c r="J497" t="s">
        <v>1035</v>
      </c>
      <c r="K497">
        <v>100941</v>
      </c>
    </row>
    <row r="498" spans="1:11" x14ac:dyDescent="0.25">
      <c r="A498" t="s">
        <v>506</v>
      </c>
      <c r="B498" s="1">
        <v>45201</v>
      </c>
      <c r="C498" t="s">
        <v>1011</v>
      </c>
      <c r="D498" t="s">
        <v>1016</v>
      </c>
      <c r="E498" t="s">
        <v>1024</v>
      </c>
      <c r="F498" t="s">
        <v>1032</v>
      </c>
      <c r="G498">
        <v>9</v>
      </c>
      <c r="H498">
        <v>48901</v>
      </c>
      <c r="I498">
        <v>5</v>
      </c>
      <c r="J498" t="s">
        <v>1036</v>
      </c>
      <c r="K498">
        <v>418103.55</v>
      </c>
    </row>
    <row r="499" spans="1:11" x14ac:dyDescent="0.25">
      <c r="A499" t="s">
        <v>507</v>
      </c>
      <c r="B499" s="1">
        <v>45096</v>
      </c>
      <c r="C499" t="s">
        <v>1013</v>
      </c>
      <c r="D499" t="s">
        <v>1016</v>
      </c>
      <c r="E499" t="s">
        <v>1030</v>
      </c>
      <c r="F499" t="s">
        <v>1032</v>
      </c>
      <c r="G499">
        <v>7</v>
      </c>
      <c r="H499">
        <v>16515</v>
      </c>
      <c r="I499">
        <v>20</v>
      </c>
      <c r="J499" t="s">
        <v>1038</v>
      </c>
      <c r="K499">
        <v>92484</v>
      </c>
    </row>
    <row r="500" spans="1:11" x14ac:dyDescent="0.25">
      <c r="A500" t="s">
        <v>508</v>
      </c>
      <c r="B500" s="1">
        <v>44941</v>
      </c>
      <c r="C500" t="s">
        <v>1012</v>
      </c>
      <c r="D500" t="s">
        <v>1020</v>
      </c>
      <c r="E500" t="s">
        <v>1030</v>
      </c>
      <c r="F500" t="s">
        <v>1034</v>
      </c>
      <c r="G500">
        <v>9</v>
      </c>
      <c r="H500">
        <v>47670</v>
      </c>
      <c r="I500">
        <v>10</v>
      </c>
      <c r="J500" t="s">
        <v>1037</v>
      </c>
      <c r="K500">
        <v>386127</v>
      </c>
    </row>
    <row r="501" spans="1:11" x14ac:dyDescent="0.25">
      <c r="A501" t="s">
        <v>509</v>
      </c>
      <c r="B501" s="1">
        <v>44986</v>
      </c>
      <c r="C501" t="s">
        <v>1010</v>
      </c>
      <c r="D501" t="s">
        <v>1020</v>
      </c>
      <c r="E501" t="s">
        <v>1027</v>
      </c>
      <c r="F501" t="s">
        <v>1034</v>
      </c>
      <c r="G501">
        <v>6</v>
      </c>
      <c r="H501">
        <v>33881</v>
      </c>
      <c r="I501">
        <v>10</v>
      </c>
      <c r="J501" t="s">
        <v>1037</v>
      </c>
      <c r="K501">
        <v>182957.4</v>
      </c>
    </row>
    <row r="502" spans="1:11" x14ac:dyDescent="0.25">
      <c r="A502" t="s">
        <v>510</v>
      </c>
      <c r="B502" s="1">
        <v>45060</v>
      </c>
      <c r="C502" t="s">
        <v>1013</v>
      </c>
      <c r="D502" t="s">
        <v>1014</v>
      </c>
      <c r="E502" t="s">
        <v>1027</v>
      </c>
      <c r="F502" t="s">
        <v>1032</v>
      </c>
      <c r="G502">
        <v>3</v>
      </c>
      <c r="H502">
        <v>18645</v>
      </c>
      <c r="I502">
        <v>15</v>
      </c>
      <c r="J502" t="s">
        <v>1037</v>
      </c>
      <c r="K502">
        <v>47544.75</v>
      </c>
    </row>
    <row r="503" spans="1:11" x14ac:dyDescent="0.25">
      <c r="A503" t="s">
        <v>511</v>
      </c>
      <c r="B503" s="1">
        <v>45018</v>
      </c>
      <c r="C503" t="s">
        <v>1011</v>
      </c>
      <c r="D503" t="s">
        <v>1019</v>
      </c>
      <c r="E503" t="s">
        <v>1027</v>
      </c>
      <c r="F503" t="s">
        <v>1033</v>
      </c>
      <c r="G503">
        <v>9</v>
      </c>
      <c r="H503">
        <v>27924</v>
      </c>
      <c r="I503">
        <v>15</v>
      </c>
      <c r="J503" t="s">
        <v>1037</v>
      </c>
      <c r="K503">
        <v>213618.6</v>
      </c>
    </row>
    <row r="504" spans="1:11" x14ac:dyDescent="0.25">
      <c r="A504" t="s">
        <v>512</v>
      </c>
      <c r="B504" s="1">
        <v>45224</v>
      </c>
      <c r="C504" t="s">
        <v>1010</v>
      </c>
      <c r="D504" t="s">
        <v>1017</v>
      </c>
      <c r="E504" t="s">
        <v>1026</v>
      </c>
      <c r="F504" t="s">
        <v>1032</v>
      </c>
      <c r="G504">
        <v>10</v>
      </c>
      <c r="H504">
        <v>36793</v>
      </c>
      <c r="I504">
        <v>10</v>
      </c>
      <c r="J504" t="s">
        <v>1039</v>
      </c>
      <c r="K504">
        <v>331137</v>
      </c>
    </row>
    <row r="505" spans="1:11" x14ac:dyDescent="0.25">
      <c r="A505" t="s">
        <v>513</v>
      </c>
      <c r="B505" s="1">
        <v>45062</v>
      </c>
      <c r="C505" t="s">
        <v>1011</v>
      </c>
      <c r="D505" t="s">
        <v>1016</v>
      </c>
      <c r="E505" t="s">
        <v>1026</v>
      </c>
      <c r="F505" t="s">
        <v>1034</v>
      </c>
      <c r="G505">
        <v>8</v>
      </c>
      <c r="H505">
        <v>38771</v>
      </c>
      <c r="I505">
        <v>5</v>
      </c>
      <c r="J505" t="s">
        <v>1038</v>
      </c>
      <c r="K505">
        <v>294659.59999999998</v>
      </c>
    </row>
    <row r="506" spans="1:11" x14ac:dyDescent="0.25">
      <c r="A506" t="s">
        <v>514</v>
      </c>
      <c r="B506" s="1">
        <v>44946</v>
      </c>
      <c r="C506" t="s">
        <v>1012</v>
      </c>
      <c r="D506" t="s">
        <v>1019</v>
      </c>
      <c r="E506" t="s">
        <v>1027</v>
      </c>
      <c r="F506" t="s">
        <v>1032</v>
      </c>
      <c r="G506">
        <v>6</v>
      </c>
      <c r="H506">
        <v>25049</v>
      </c>
      <c r="I506">
        <v>0</v>
      </c>
      <c r="J506" t="s">
        <v>1036</v>
      </c>
      <c r="K506">
        <v>150294</v>
      </c>
    </row>
    <row r="507" spans="1:11" x14ac:dyDescent="0.25">
      <c r="A507" t="s">
        <v>515</v>
      </c>
      <c r="B507" s="1">
        <v>44982</v>
      </c>
      <c r="C507" t="s">
        <v>1010</v>
      </c>
      <c r="D507" t="s">
        <v>1020</v>
      </c>
      <c r="E507" t="s">
        <v>1026</v>
      </c>
      <c r="F507" t="s">
        <v>1033</v>
      </c>
      <c r="G507">
        <v>6</v>
      </c>
      <c r="H507">
        <v>3192</v>
      </c>
      <c r="I507">
        <v>5</v>
      </c>
      <c r="J507" t="s">
        <v>1038</v>
      </c>
      <c r="K507">
        <v>18194.400000000001</v>
      </c>
    </row>
    <row r="508" spans="1:11" x14ac:dyDescent="0.25">
      <c r="A508" t="s">
        <v>516</v>
      </c>
      <c r="B508" s="1">
        <v>45232</v>
      </c>
      <c r="C508" t="s">
        <v>1010</v>
      </c>
      <c r="D508" t="s">
        <v>1015</v>
      </c>
      <c r="E508" t="s">
        <v>1025</v>
      </c>
      <c r="F508" t="s">
        <v>1034</v>
      </c>
      <c r="G508">
        <v>9</v>
      </c>
      <c r="H508">
        <v>3481</v>
      </c>
      <c r="I508">
        <v>5</v>
      </c>
      <c r="J508" t="s">
        <v>1038</v>
      </c>
      <c r="K508">
        <v>29762.55</v>
      </c>
    </row>
    <row r="509" spans="1:11" x14ac:dyDescent="0.25">
      <c r="A509" t="s">
        <v>517</v>
      </c>
      <c r="B509" s="1">
        <v>45149</v>
      </c>
      <c r="C509" t="s">
        <v>1011</v>
      </c>
      <c r="D509" t="s">
        <v>1020</v>
      </c>
      <c r="E509" t="s">
        <v>1028</v>
      </c>
      <c r="F509" t="s">
        <v>1034</v>
      </c>
      <c r="G509">
        <v>6</v>
      </c>
      <c r="H509">
        <v>38234</v>
      </c>
      <c r="I509">
        <v>20</v>
      </c>
      <c r="J509" t="s">
        <v>1035</v>
      </c>
      <c r="K509">
        <v>183523.20000000001</v>
      </c>
    </row>
    <row r="510" spans="1:11" x14ac:dyDescent="0.25">
      <c r="A510" t="s">
        <v>518</v>
      </c>
      <c r="B510" s="1">
        <v>45103</v>
      </c>
      <c r="C510" t="s">
        <v>1010</v>
      </c>
      <c r="D510" t="s">
        <v>1015</v>
      </c>
      <c r="E510" t="s">
        <v>1023</v>
      </c>
      <c r="F510" t="s">
        <v>1032</v>
      </c>
      <c r="G510">
        <v>6</v>
      </c>
      <c r="H510">
        <v>32671</v>
      </c>
      <c r="I510">
        <v>5</v>
      </c>
      <c r="J510" t="s">
        <v>1037</v>
      </c>
      <c r="K510">
        <v>186224.7</v>
      </c>
    </row>
    <row r="511" spans="1:11" x14ac:dyDescent="0.25">
      <c r="A511" t="s">
        <v>519</v>
      </c>
      <c r="B511" s="1">
        <v>45087</v>
      </c>
      <c r="C511" t="s">
        <v>1013</v>
      </c>
      <c r="D511" t="s">
        <v>1018</v>
      </c>
      <c r="E511" t="s">
        <v>1024</v>
      </c>
      <c r="F511" t="s">
        <v>1034</v>
      </c>
      <c r="G511">
        <v>7</v>
      </c>
      <c r="H511">
        <v>47195</v>
      </c>
      <c r="I511">
        <v>5</v>
      </c>
      <c r="J511" t="s">
        <v>1037</v>
      </c>
      <c r="K511">
        <v>313846.75</v>
      </c>
    </row>
    <row r="512" spans="1:11" x14ac:dyDescent="0.25">
      <c r="A512" t="s">
        <v>520</v>
      </c>
      <c r="B512" s="1">
        <v>45150</v>
      </c>
      <c r="C512" t="s">
        <v>1013</v>
      </c>
      <c r="D512" t="s">
        <v>1017</v>
      </c>
      <c r="E512" t="s">
        <v>1025</v>
      </c>
      <c r="F512" t="s">
        <v>1032</v>
      </c>
      <c r="G512">
        <v>7</v>
      </c>
      <c r="H512">
        <v>25155</v>
      </c>
      <c r="I512">
        <v>20</v>
      </c>
      <c r="J512" t="s">
        <v>1039</v>
      </c>
      <c r="K512">
        <v>140868</v>
      </c>
    </row>
    <row r="513" spans="1:11" x14ac:dyDescent="0.25">
      <c r="A513" t="s">
        <v>521</v>
      </c>
      <c r="B513" s="1">
        <v>45237</v>
      </c>
      <c r="C513" t="s">
        <v>1012</v>
      </c>
      <c r="D513" t="s">
        <v>1018</v>
      </c>
      <c r="E513" t="s">
        <v>1024</v>
      </c>
      <c r="F513" t="s">
        <v>1032</v>
      </c>
      <c r="G513">
        <v>6</v>
      </c>
      <c r="H513">
        <v>8416</v>
      </c>
      <c r="I513">
        <v>20</v>
      </c>
      <c r="J513" t="s">
        <v>1036</v>
      </c>
      <c r="K513">
        <v>40396.800000000003</v>
      </c>
    </row>
    <row r="514" spans="1:11" x14ac:dyDescent="0.25">
      <c r="A514" t="s">
        <v>522</v>
      </c>
      <c r="B514" s="1">
        <v>45188</v>
      </c>
      <c r="C514" t="s">
        <v>1013</v>
      </c>
      <c r="D514" t="s">
        <v>1020</v>
      </c>
      <c r="E514" t="s">
        <v>1031</v>
      </c>
      <c r="F514" t="s">
        <v>1034</v>
      </c>
      <c r="G514">
        <v>10</v>
      </c>
      <c r="H514">
        <v>39028</v>
      </c>
      <c r="I514">
        <v>20</v>
      </c>
      <c r="J514" t="s">
        <v>1036</v>
      </c>
      <c r="K514">
        <v>312224</v>
      </c>
    </row>
    <row r="515" spans="1:11" x14ac:dyDescent="0.25">
      <c r="A515" t="s">
        <v>523</v>
      </c>
      <c r="B515" s="1">
        <v>44986</v>
      </c>
      <c r="C515" t="s">
        <v>1012</v>
      </c>
      <c r="D515" t="s">
        <v>1014</v>
      </c>
      <c r="E515" t="s">
        <v>1027</v>
      </c>
      <c r="F515" t="s">
        <v>1034</v>
      </c>
      <c r="G515">
        <v>4</v>
      </c>
      <c r="H515">
        <v>32557</v>
      </c>
      <c r="I515">
        <v>20</v>
      </c>
      <c r="J515" t="s">
        <v>1035</v>
      </c>
      <c r="K515">
        <v>104182.39999999999</v>
      </c>
    </row>
    <row r="516" spans="1:11" x14ac:dyDescent="0.25">
      <c r="A516" t="s">
        <v>524</v>
      </c>
      <c r="B516" s="1">
        <v>45124</v>
      </c>
      <c r="C516" t="s">
        <v>1011</v>
      </c>
      <c r="D516" t="s">
        <v>1020</v>
      </c>
      <c r="E516" t="s">
        <v>1027</v>
      </c>
      <c r="F516" t="s">
        <v>1032</v>
      </c>
      <c r="G516">
        <v>10</v>
      </c>
      <c r="H516">
        <v>46252</v>
      </c>
      <c r="I516">
        <v>20</v>
      </c>
      <c r="J516" t="s">
        <v>1035</v>
      </c>
      <c r="K516">
        <v>370016</v>
      </c>
    </row>
    <row r="517" spans="1:11" x14ac:dyDescent="0.25">
      <c r="A517" t="s">
        <v>525</v>
      </c>
      <c r="B517" s="1">
        <v>45222</v>
      </c>
      <c r="C517" t="s">
        <v>1011</v>
      </c>
      <c r="D517" t="s">
        <v>1016</v>
      </c>
      <c r="E517" t="s">
        <v>1031</v>
      </c>
      <c r="F517" t="s">
        <v>1034</v>
      </c>
      <c r="G517">
        <v>9</v>
      </c>
      <c r="H517">
        <v>6247</v>
      </c>
      <c r="I517">
        <v>0</v>
      </c>
      <c r="J517" t="s">
        <v>1035</v>
      </c>
      <c r="K517">
        <v>56223</v>
      </c>
    </row>
    <row r="518" spans="1:11" x14ac:dyDescent="0.25">
      <c r="A518" t="s">
        <v>526</v>
      </c>
      <c r="B518" s="1">
        <v>45024</v>
      </c>
      <c r="C518" t="s">
        <v>1012</v>
      </c>
      <c r="D518" t="s">
        <v>1020</v>
      </c>
      <c r="E518" t="s">
        <v>1029</v>
      </c>
      <c r="F518" t="s">
        <v>1034</v>
      </c>
      <c r="G518">
        <v>4</v>
      </c>
      <c r="H518">
        <v>10311</v>
      </c>
      <c r="I518">
        <v>15</v>
      </c>
      <c r="J518" t="s">
        <v>1037</v>
      </c>
      <c r="K518">
        <v>35057.4</v>
      </c>
    </row>
    <row r="519" spans="1:11" x14ac:dyDescent="0.25">
      <c r="A519" t="s">
        <v>527</v>
      </c>
      <c r="B519" s="1">
        <v>45057</v>
      </c>
      <c r="C519" t="s">
        <v>1013</v>
      </c>
      <c r="D519" t="s">
        <v>1016</v>
      </c>
      <c r="E519" t="s">
        <v>1030</v>
      </c>
      <c r="F519" t="s">
        <v>1033</v>
      </c>
      <c r="G519">
        <v>7</v>
      </c>
      <c r="H519">
        <v>48853</v>
      </c>
      <c r="I519">
        <v>15</v>
      </c>
      <c r="J519" t="s">
        <v>1037</v>
      </c>
      <c r="K519">
        <v>290675.34999999998</v>
      </c>
    </row>
    <row r="520" spans="1:11" x14ac:dyDescent="0.25">
      <c r="A520" t="s">
        <v>528</v>
      </c>
      <c r="B520" s="1">
        <v>44949</v>
      </c>
      <c r="C520" t="s">
        <v>1013</v>
      </c>
      <c r="D520" t="s">
        <v>1018</v>
      </c>
      <c r="E520" t="s">
        <v>1025</v>
      </c>
      <c r="F520" t="s">
        <v>1034</v>
      </c>
      <c r="G520">
        <v>9</v>
      </c>
      <c r="H520">
        <v>48926</v>
      </c>
      <c r="I520">
        <v>0</v>
      </c>
      <c r="J520" t="s">
        <v>1039</v>
      </c>
      <c r="K520">
        <v>440334</v>
      </c>
    </row>
    <row r="521" spans="1:11" x14ac:dyDescent="0.25">
      <c r="A521" t="s">
        <v>529</v>
      </c>
      <c r="B521" s="1">
        <v>45289</v>
      </c>
      <c r="C521" t="s">
        <v>1012</v>
      </c>
      <c r="D521" t="s">
        <v>1014</v>
      </c>
      <c r="E521" t="s">
        <v>1024</v>
      </c>
      <c r="F521" t="s">
        <v>1032</v>
      </c>
      <c r="G521">
        <v>5</v>
      </c>
      <c r="H521">
        <v>35498</v>
      </c>
      <c r="I521">
        <v>0</v>
      </c>
      <c r="J521" t="s">
        <v>1036</v>
      </c>
      <c r="K521">
        <v>177490</v>
      </c>
    </row>
    <row r="522" spans="1:11" x14ac:dyDescent="0.25">
      <c r="A522" t="s">
        <v>530</v>
      </c>
      <c r="B522" s="1">
        <v>45150</v>
      </c>
      <c r="C522" t="s">
        <v>1012</v>
      </c>
      <c r="D522" t="s">
        <v>1019</v>
      </c>
      <c r="E522" t="s">
        <v>1030</v>
      </c>
      <c r="F522" t="s">
        <v>1032</v>
      </c>
      <c r="G522">
        <v>6</v>
      </c>
      <c r="H522">
        <v>19312</v>
      </c>
      <c r="I522">
        <v>5</v>
      </c>
      <c r="J522" t="s">
        <v>1036</v>
      </c>
      <c r="K522">
        <v>110078.39999999999</v>
      </c>
    </row>
    <row r="523" spans="1:11" x14ac:dyDescent="0.25">
      <c r="A523" t="s">
        <v>531</v>
      </c>
      <c r="B523" s="1">
        <v>44927</v>
      </c>
      <c r="C523" t="s">
        <v>1011</v>
      </c>
      <c r="D523" t="s">
        <v>1018</v>
      </c>
      <c r="E523" t="s">
        <v>1027</v>
      </c>
      <c r="F523" t="s">
        <v>1034</v>
      </c>
      <c r="G523">
        <v>8</v>
      </c>
      <c r="H523">
        <v>31470</v>
      </c>
      <c r="I523">
        <v>0</v>
      </c>
      <c r="J523" t="s">
        <v>1035</v>
      </c>
      <c r="K523">
        <v>251760</v>
      </c>
    </row>
    <row r="524" spans="1:11" x14ac:dyDescent="0.25">
      <c r="A524" t="s">
        <v>532</v>
      </c>
      <c r="B524" s="1">
        <v>45193</v>
      </c>
      <c r="C524" t="s">
        <v>1012</v>
      </c>
      <c r="D524" t="s">
        <v>1018</v>
      </c>
      <c r="E524" t="s">
        <v>1027</v>
      </c>
      <c r="F524" t="s">
        <v>1033</v>
      </c>
      <c r="G524">
        <v>8</v>
      </c>
      <c r="H524">
        <v>34878</v>
      </c>
      <c r="I524">
        <v>15</v>
      </c>
      <c r="J524" t="s">
        <v>1038</v>
      </c>
      <c r="K524">
        <v>237170.4</v>
      </c>
    </row>
    <row r="525" spans="1:11" x14ac:dyDescent="0.25">
      <c r="A525" t="s">
        <v>533</v>
      </c>
      <c r="B525" s="1">
        <v>45202</v>
      </c>
      <c r="C525" t="s">
        <v>1013</v>
      </c>
      <c r="D525" t="s">
        <v>1020</v>
      </c>
      <c r="E525" t="s">
        <v>1024</v>
      </c>
      <c r="F525" t="s">
        <v>1034</v>
      </c>
      <c r="G525">
        <v>7</v>
      </c>
      <c r="H525">
        <v>6127</v>
      </c>
      <c r="I525">
        <v>10</v>
      </c>
      <c r="J525" t="s">
        <v>1036</v>
      </c>
      <c r="K525">
        <v>38600.1</v>
      </c>
    </row>
    <row r="526" spans="1:11" x14ac:dyDescent="0.25">
      <c r="A526" t="s">
        <v>534</v>
      </c>
      <c r="B526" s="1">
        <v>45278</v>
      </c>
      <c r="C526" t="s">
        <v>1012</v>
      </c>
      <c r="D526" t="s">
        <v>1021</v>
      </c>
      <c r="E526" t="s">
        <v>1029</v>
      </c>
      <c r="F526" t="s">
        <v>1034</v>
      </c>
      <c r="G526">
        <v>1</v>
      </c>
      <c r="H526">
        <v>35298</v>
      </c>
      <c r="I526">
        <v>10</v>
      </c>
      <c r="J526" t="s">
        <v>1039</v>
      </c>
      <c r="K526">
        <v>31768.2</v>
      </c>
    </row>
    <row r="527" spans="1:11" x14ac:dyDescent="0.25">
      <c r="A527" t="s">
        <v>535</v>
      </c>
      <c r="B527" s="1">
        <v>45270</v>
      </c>
      <c r="C527" t="s">
        <v>1012</v>
      </c>
      <c r="D527" t="s">
        <v>1015</v>
      </c>
      <c r="E527" t="s">
        <v>1024</v>
      </c>
      <c r="F527" t="s">
        <v>1033</v>
      </c>
      <c r="G527">
        <v>1</v>
      </c>
      <c r="H527">
        <v>40981</v>
      </c>
      <c r="I527">
        <v>10</v>
      </c>
      <c r="J527" t="s">
        <v>1037</v>
      </c>
      <c r="K527">
        <v>36882.9</v>
      </c>
    </row>
    <row r="528" spans="1:11" x14ac:dyDescent="0.25">
      <c r="A528" t="s">
        <v>536</v>
      </c>
      <c r="B528" s="1">
        <v>45027</v>
      </c>
      <c r="C528" t="s">
        <v>1012</v>
      </c>
      <c r="D528" t="s">
        <v>1018</v>
      </c>
      <c r="E528" t="s">
        <v>1023</v>
      </c>
      <c r="F528" t="s">
        <v>1034</v>
      </c>
      <c r="G528">
        <v>5</v>
      </c>
      <c r="H528">
        <v>6796</v>
      </c>
      <c r="I528">
        <v>5</v>
      </c>
      <c r="J528" t="s">
        <v>1036</v>
      </c>
      <c r="K528">
        <v>32281</v>
      </c>
    </row>
    <row r="529" spans="1:11" x14ac:dyDescent="0.25">
      <c r="A529" t="s">
        <v>537</v>
      </c>
      <c r="B529" s="1">
        <v>45113</v>
      </c>
      <c r="C529" t="s">
        <v>1011</v>
      </c>
      <c r="D529" t="s">
        <v>1015</v>
      </c>
      <c r="E529" t="s">
        <v>1022</v>
      </c>
      <c r="F529" t="s">
        <v>1032</v>
      </c>
      <c r="G529">
        <v>10</v>
      </c>
      <c r="H529">
        <v>17071</v>
      </c>
      <c r="I529">
        <v>15</v>
      </c>
      <c r="J529" t="s">
        <v>1039</v>
      </c>
      <c r="K529">
        <v>145103.5</v>
      </c>
    </row>
    <row r="530" spans="1:11" x14ac:dyDescent="0.25">
      <c r="A530" t="s">
        <v>538</v>
      </c>
      <c r="B530" s="1">
        <v>45147</v>
      </c>
      <c r="C530" t="s">
        <v>1012</v>
      </c>
      <c r="D530" t="s">
        <v>1015</v>
      </c>
      <c r="E530" t="s">
        <v>1029</v>
      </c>
      <c r="F530" t="s">
        <v>1033</v>
      </c>
      <c r="G530">
        <v>1</v>
      </c>
      <c r="H530">
        <v>31962</v>
      </c>
      <c r="I530">
        <v>20</v>
      </c>
      <c r="J530" t="s">
        <v>1037</v>
      </c>
      <c r="K530">
        <v>25569.599999999999</v>
      </c>
    </row>
    <row r="531" spans="1:11" x14ac:dyDescent="0.25">
      <c r="A531" t="s">
        <v>539</v>
      </c>
      <c r="B531" s="1">
        <v>44962</v>
      </c>
      <c r="C531" t="s">
        <v>1010</v>
      </c>
      <c r="D531" t="s">
        <v>1019</v>
      </c>
      <c r="E531" t="s">
        <v>1031</v>
      </c>
      <c r="F531" t="s">
        <v>1033</v>
      </c>
      <c r="G531">
        <v>9</v>
      </c>
      <c r="H531">
        <v>42331</v>
      </c>
      <c r="I531">
        <v>20</v>
      </c>
      <c r="J531" t="s">
        <v>1038</v>
      </c>
      <c r="K531">
        <v>304783.2</v>
      </c>
    </row>
    <row r="532" spans="1:11" x14ac:dyDescent="0.25">
      <c r="A532" t="s">
        <v>540</v>
      </c>
      <c r="B532" s="1">
        <v>45267</v>
      </c>
      <c r="C532" t="s">
        <v>1010</v>
      </c>
      <c r="D532" t="s">
        <v>1019</v>
      </c>
      <c r="E532" t="s">
        <v>1025</v>
      </c>
      <c r="F532" t="s">
        <v>1032</v>
      </c>
      <c r="G532">
        <v>3</v>
      </c>
      <c r="H532">
        <v>49607</v>
      </c>
      <c r="I532">
        <v>10</v>
      </c>
      <c r="J532" t="s">
        <v>1035</v>
      </c>
      <c r="K532">
        <v>133938.9</v>
      </c>
    </row>
    <row r="533" spans="1:11" x14ac:dyDescent="0.25">
      <c r="A533" t="s">
        <v>541</v>
      </c>
      <c r="B533" s="1">
        <v>45096</v>
      </c>
      <c r="C533" t="s">
        <v>1010</v>
      </c>
      <c r="D533" t="s">
        <v>1019</v>
      </c>
      <c r="E533" t="s">
        <v>1023</v>
      </c>
      <c r="F533" t="s">
        <v>1034</v>
      </c>
      <c r="G533">
        <v>5</v>
      </c>
      <c r="H533">
        <v>44498</v>
      </c>
      <c r="I533">
        <v>5</v>
      </c>
      <c r="J533" t="s">
        <v>1035</v>
      </c>
      <c r="K533">
        <v>211365.5</v>
      </c>
    </row>
    <row r="534" spans="1:11" x14ac:dyDescent="0.25">
      <c r="A534" t="s">
        <v>542</v>
      </c>
      <c r="B534" s="1">
        <v>45246</v>
      </c>
      <c r="C534" t="s">
        <v>1013</v>
      </c>
      <c r="D534" t="s">
        <v>1017</v>
      </c>
      <c r="E534" t="s">
        <v>1029</v>
      </c>
      <c r="F534" t="s">
        <v>1034</v>
      </c>
      <c r="G534">
        <v>1</v>
      </c>
      <c r="H534">
        <v>44825</v>
      </c>
      <c r="I534">
        <v>10</v>
      </c>
      <c r="J534" t="s">
        <v>1035</v>
      </c>
      <c r="K534">
        <v>40342.5</v>
      </c>
    </row>
    <row r="535" spans="1:11" x14ac:dyDescent="0.25">
      <c r="A535" t="s">
        <v>543</v>
      </c>
      <c r="B535" s="1">
        <v>45087</v>
      </c>
      <c r="C535" t="s">
        <v>1013</v>
      </c>
      <c r="D535" t="s">
        <v>1015</v>
      </c>
      <c r="E535" t="s">
        <v>1023</v>
      </c>
      <c r="F535" t="s">
        <v>1033</v>
      </c>
      <c r="G535">
        <v>5</v>
      </c>
      <c r="H535">
        <v>6117</v>
      </c>
      <c r="I535">
        <v>0</v>
      </c>
      <c r="J535" t="s">
        <v>1036</v>
      </c>
      <c r="K535">
        <v>30585</v>
      </c>
    </row>
    <row r="536" spans="1:11" x14ac:dyDescent="0.25">
      <c r="A536" t="s">
        <v>544</v>
      </c>
      <c r="B536" s="1">
        <v>45266</v>
      </c>
      <c r="C536" t="s">
        <v>1012</v>
      </c>
      <c r="D536" t="s">
        <v>1020</v>
      </c>
      <c r="E536" t="s">
        <v>1025</v>
      </c>
      <c r="F536" t="s">
        <v>1032</v>
      </c>
      <c r="G536">
        <v>4</v>
      </c>
      <c r="H536">
        <v>45831</v>
      </c>
      <c r="I536">
        <v>0</v>
      </c>
      <c r="J536" t="s">
        <v>1039</v>
      </c>
      <c r="K536">
        <v>183324</v>
      </c>
    </row>
    <row r="537" spans="1:11" x14ac:dyDescent="0.25">
      <c r="A537" t="s">
        <v>545</v>
      </c>
      <c r="B537" s="1">
        <v>44990</v>
      </c>
      <c r="C537" t="s">
        <v>1010</v>
      </c>
      <c r="D537" t="s">
        <v>1015</v>
      </c>
      <c r="E537" t="s">
        <v>1025</v>
      </c>
      <c r="F537" t="s">
        <v>1033</v>
      </c>
      <c r="G537">
        <v>4</v>
      </c>
      <c r="H537">
        <v>42529</v>
      </c>
      <c r="I537">
        <v>5</v>
      </c>
      <c r="J537" t="s">
        <v>1035</v>
      </c>
      <c r="K537">
        <v>161610.20000000001</v>
      </c>
    </row>
    <row r="538" spans="1:11" x14ac:dyDescent="0.25">
      <c r="A538" t="s">
        <v>546</v>
      </c>
      <c r="B538" s="1">
        <v>45080</v>
      </c>
      <c r="C538" t="s">
        <v>1011</v>
      </c>
      <c r="D538" t="s">
        <v>1018</v>
      </c>
      <c r="E538" t="s">
        <v>1025</v>
      </c>
      <c r="F538" t="s">
        <v>1034</v>
      </c>
      <c r="G538">
        <v>6</v>
      </c>
      <c r="H538">
        <v>36336</v>
      </c>
      <c r="I538">
        <v>5</v>
      </c>
      <c r="J538" t="s">
        <v>1037</v>
      </c>
      <c r="K538">
        <v>207115.2</v>
      </c>
    </row>
    <row r="539" spans="1:11" x14ac:dyDescent="0.25">
      <c r="A539" t="s">
        <v>547</v>
      </c>
      <c r="B539" s="1">
        <v>45186</v>
      </c>
      <c r="C539" t="s">
        <v>1010</v>
      </c>
      <c r="D539" t="s">
        <v>1019</v>
      </c>
      <c r="E539" t="s">
        <v>1031</v>
      </c>
      <c r="F539" t="s">
        <v>1034</v>
      </c>
      <c r="G539">
        <v>1</v>
      </c>
      <c r="H539">
        <v>38986</v>
      </c>
      <c r="I539">
        <v>5</v>
      </c>
      <c r="J539" t="s">
        <v>1039</v>
      </c>
      <c r="K539">
        <v>37036.699999999997</v>
      </c>
    </row>
    <row r="540" spans="1:11" x14ac:dyDescent="0.25">
      <c r="A540" t="s">
        <v>548</v>
      </c>
      <c r="B540" s="1">
        <v>45085</v>
      </c>
      <c r="C540" t="s">
        <v>1010</v>
      </c>
      <c r="D540" t="s">
        <v>1018</v>
      </c>
      <c r="E540" t="s">
        <v>1026</v>
      </c>
      <c r="F540" t="s">
        <v>1032</v>
      </c>
      <c r="G540">
        <v>5</v>
      </c>
      <c r="H540">
        <v>21479</v>
      </c>
      <c r="I540">
        <v>5</v>
      </c>
      <c r="J540" t="s">
        <v>1039</v>
      </c>
      <c r="K540">
        <v>102025.25</v>
      </c>
    </row>
    <row r="541" spans="1:11" x14ac:dyDescent="0.25">
      <c r="A541" t="s">
        <v>549</v>
      </c>
      <c r="B541" s="1">
        <v>45268</v>
      </c>
      <c r="C541" t="s">
        <v>1013</v>
      </c>
      <c r="D541" t="s">
        <v>1019</v>
      </c>
      <c r="E541" t="s">
        <v>1022</v>
      </c>
      <c r="F541" t="s">
        <v>1033</v>
      </c>
      <c r="G541">
        <v>9</v>
      </c>
      <c r="H541">
        <v>41176</v>
      </c>
      <c r="I541">
        <v>10</v>
      </c>
      <c r="J541" t="s">
        <v>1036</v>
      </c>
      <c r="K541">
        <v>333525.59999999998</v>
      </c>
    </row>
    <row r="542" spans="1:11" x14ac:dyDescent="0.25">
      <c r="A542" t="s">
        <v>550</v>
      </c>
      <c r="B542" s="1">
        <v>45136</v>
      </c>
      <c r="C542" t="s">
        <v>1013</v>
      </c>
      <c r="D542" t="s">
        <v>1017</v>
      </c>
      <c r="E542" t="s">
        <v>1030</v>
      </c>
      <c r="F542" t="s">
        <v>1033</v>
      </c>
      <c r="G542">
        <v>9</v>
      </c>
      <c r="H542">
        <v>4458</v>
      </c>
      <c r="I542">
        <v>5</v>
      </c>
      <c r="J542" t="s">
        <v>1036</v>
      </c>
      <c r="K542">
        <v>38115.9</v>
      </c>
    </row>
    <row r="543" spans="1:11" x14ac:dyDescent="0.25">
      <c r="A543" t="s">
        <v>551</v>
      </c>
      <c r="B543" s="1">
        <v>45094</v>
      </c>
      <c r="C543" t="s">
        <v>1011</v>
      </c>
      <c r="D543" t="s">
        <v>1020</v>
      </c>
      <c r="E543" t="s">
        <v>1025</v>
      </c>
      <c r="F543" t="s">
        <v>1034</v>
      </c>
      <c r="G543">
        <v>9</v>
      </c>
      <c r="H543">
        <v>23514</v>
      </c>
      <c r="I543">
        <v>5</v>
      </c>
      <c r="J543" t="s">
        <v>1038</v>
      </c>
      <c r="K543">
        <v>201044.7</v>
      </c>
    </row>
    <row r="544" spans="1:11" x14ac:dyDescent="0.25">
      <c r="A544" t="s">
        <v>552</v>
      </c>
      <c r="B544" s="1">
        <v>45133</v>
      </c>
      <c r="C544" t="s">
        <v>1013</v>
      </c>
      <c r="D544" t="s">
        <v>1016</v>
      </c>
      <c r="E544" t="s">
        <v>1031</v>
      </c>
      <c r="F544" t="s">
        <v>1032</v>
      </c>
      <c r="G544">
        <v>10</v>
      </c>
      <c r="H544">
        <v>36063</v>
      </c>
      <c r="I544">
        <v>5</v>
      </c>
      <c r="J544" t="s">
        <v>1038</v>
      </c>
      <c r="K544">
        <v>342598.5</v>
      </c>
    </row>
    <row r="545" spans="1:11" x14ac:dyDescent="0.25">
      <c r="A545" t="s">
        <v>553</v>
      </c>
      <c r="B545" s="1">
        <v>45283</v>
      </c>
      <c r="C545" t="s">
        <v>1011</v>
      </c>
      <c r="D545" t="s">
        <v>1019</v>
      </c>
      <c r="E545" t="s">
        <v>1023</v>
      </c>
      <c r="F545" t="s">
        <v>1034</v>
      </c>
      <c r="G545">
        <v>10</v>
      </c>
      <c r="H545">
        <v>1706</v>
      </c>
      <c r="I545">
        <v>0</v>
      </c>
      <c r="J545" t="s">
        <v>1036</v>
      </c>
      <c r="K545">
        <v>17060</v>
      </c>
    </row>
    <row r="546" spans="1:11" x14ac:dyDescent="0.25">
      <c r="A546" t="s">
        <v>554</v>
      </c>
      <c r="B546" s="1">
        <v>45078</v>
      </c>
      <c r="C546" t="s">
        <v>1013</v>
      </c>
      <c r="D546" t="s">
        <v>1021</v>
      </c>
      <c r="E546" t="s">
        <v>1025</v>
      </c>
      <c r="F546" t="s">
        <v>1032</v>
      </c>
      <c r="G546">
        <v>3</v>
      </c>
      <c r="H546">
        <v>31727</v>
      </c>
      <c r="I546">
        <v>15</v>
      </c>
      <c r="J546" t="s">
        <v>1036</v>
      </c>
      <c r="K546">
        <v>80903.849999999991</v>
      </c>
    </row>
    <row r="547" spans="1:11" x14ac:dyDescent="0.25">
      <c r="A547" t="s">
        <v>555</v>
      </c>
      <c r="B547" s="1">
        <v>45210</v>
      </c>
      <c r="C547" t="s">
        <v>1010</v>
      </c>
      <c r="D547" t="s">
        <v>1017</v>
      </c>
      <c r="E547" t="s">
        <v>1024</v>
      </c>
      <c r="F547" t="s">
        <v>1034</v>
      </c>
      <c r="G547">
        <v>2</v>
      </c>
      <c r="H547">
        <v>30755</v>
      </c>
      <c r="I547">
        <v>0</v>
      </c>
      <c r="J547" t="s">
        <v>1039</v>
      </c>
      <c r="K547">
        <v>61510</v>
      </c>
    </row>
    <row r="548" spans="1:11" x14ac:dyDescent="0.25">
      <c r="A548" t="s">
        <v>556</v>
      </c>
      <c r="B548" s="1">
        <v>44992</v>
      </c>
      <c r="C548" t="s">
        <v>1010</v>
      </c>
      <c r="D548" t="s">
        <v>1021</v>
      </c>
      <c r="E548" t="s">
        <v>1027</v>
      </c>
      <c r="F548" t="s">
        <v>1034</v>
      </c>
      <c r="G548">
        <v>1</v>
      </c>
      <c r="H548">
        <v>34597</v>
      </c>
      <c r="I548">
        <v>0</v>
      </c>
      <c r="J548" t="s">
        <v>1039</v>
      </c>
      <c r="K548">
        <v>34597</v>
      </c>
    </row>
    <row r="549" spans="1:11" x14ac:dyDescent="0.25">
      <c r="A549" t="s">
        <v>557</v>
      </c>
      <c r="B549" s="1">
        <v>45025</v>
      </c>
      <c r="C549" t="s">
        <v>1011</v>
      </c>
      <c r="D549" t="s">
        <v>1017</v>
      </c>
      <c r="E549" t="s">
        <v>1026</v>
      </c>
      <c r="F549" t="s">
        <v>1032</v>
      </c>
      <c r="G549">
        <v>8</v>
      </c>
      <c r="H549">
        <v>31751</v>
      </c>
      <c r="I549">
        <v>0</v>
      </c>
      <c r="J549" t="s">
        <v>1036</v>
      </c>
      <c r="K549">
        <v>254008</v>
      </c>
    </row>
    <row r="550" spans="1:11" x14ac:dyDescent="0.25">
      <c r="A550" t="s">
        <v>558</v>
      </c>
      <c r="B550" s="1">
        <v>45142</v>
      </c>
      <c r="C550" t="s">
        <v>1011</v>
      </c>
      <c r="D550" t="s">
        <v>1020</v>
      </c>
      <c r="E550" t="s">
        <v>1022</v>
      </c>
      <c r="F550" t="s">
        <v>1034</v>
      </c>
      <c r="G550">
        <v>6</v>
      </c>
      <c r="H550">
        <v>38615</v>
      </c>
      <c r="I550">
        <v>15</v>
      </c>
      <c r="J550" t="s">
        <v>1039</v>
      </c>
      <c r="K550">
        <v>196936.5</v>
      </c>
    </row>
    <row r="551" spans="1:11" x14ac:dyDescent="0.25">
      <c r="A551" t="s">
        <v>559</v>
      </c>
      <c r="B551" s="1">
        <v>45267</v>
      </c>
      <c r="C551" t="s">
        <v>1013</v>
      </c>
      <c r="D551" t="s">
        <v>1015</v>
      </c>
      <c r="E551" t="s">
        <v>1031</v>
      </c>
      <c r="F551" t="s">
        <v>1032</v>
      </c>
      <c r="G551">
        <v>3</v>
      </c>
      <c r="H551">
        <v>49091</v>
      </c>
      <c r="I551">
        <v>15</v>
      </c>
      <c r="J551" t="s">
        <v>1036</v>
      </c>
      <c r="K551">
        <v>125182.05</v>
      </c>
    </row>
    <row r="552" spans="1:11" x14ac:dyDescent="0.25">
      <c r="A552" t="s">
        <v>560</v>
      </c>
      <c r="B552" s="1">
        <v>45121</v>
      </c>
      <c r="C552" t="s">
        <v>1013</v>
      </c>
      <c r="D552" t="s">
        <v>1019</v>
      </c>
      <c r="E552" t="s">
        <v>1022</v>
      </c>
      <c r="F552" t="s">
        <v>1033</v>
      </c>
      <c r="G552">
        <v>3</v>
      </c>
      <c r="H552">
        <v>22726</v>
      </c>
      <c r="I552">
        <v>0</v>
      </c>
      <c r="J552" t="s">
        <v>1039</v>
      </c>
      <c r="K552">
        <v>68178</v>
      </c>
    </row>
    <row r="553" spans="1:11" x14ac:dyDescent="0.25">
      <c r="A553" t="s">
        <v>561</v>
      </c>
      <c r="B553" s="1">
        <v>45273</v>
      </c>
      <c r="C553" t="s">
        <v>1011</v>
      </c>
      <c r="D553" t="s">
        <v>1014</v>
      </c>
      <c r="E553" t="s">
        <v>1024</v>
      </c>
      <c r="F553" t="s">
        <v>1032</v>
      </c>
      <c r="G553">
        <v>5</v>
      </c>
      <c r="H553">
        <v>28591</v>
      </c>
      <c r="I553">
        <v>5</v>
      </c>
      <c r="J553" t="s">
        <v>1036</v>
      </c>
      <c r="K553">
        <v>135807.25</v>
      </c>
    </row>
    <row r="554" spans="1:11" x14ac:dyDescent="0.25">
      <c r="A554" t="s">
        <v>562</v>
      </c>
      <c r="B554" s="1">
        <v>45016</v>
      </c>
      <c r="C554" t="s">
        <v>1011</v>
      </c>
      <c r="D554" t="s">
        <v>1018</v>
      </c>
      <c r="E554" t="s">
        <v>1031</v>
      </c>
      <c r="F554" t="s">
        <v>1032</v>
      </c>
      <c r="G554">
        <v>6</v>
      </c>
      <c r="H554">
        <v>24128</v>
      </c>
      <c r="I554">
        <v>0</v>
      </c>
      <c r="J554" t="s">
        <v>1037</v>
      </c>
      <c r="K554">
        <v>144768</v>
      </c>
    </row>
    <row r="555" spans="1:11" x14ac:dyDescent="0.25">
      <c r="A555" t="s">
        <v>563</v>
      </c>
      <c r="B555" s="1">
        <v>45242</v>
      </c>
      <c r="C555" t="s">
        <v>1010</v>
      </c>
      <c r="D555" t="s">
        <v>1016</v>
      </c>
      <c r="E555" t="s">
        <v>1028</v>
      </c>
      <c r="F555" t="s">
        <v>1034</v>
      </c>
      <c r="G555">
        <v>10</v>
      </c>
      <c r="H555">
        <v>20308</v>
      </c>
      <c r="I555">
        <v>0</v>
      </c>
      <c r="J555" t="s">
        <v>1036</v>
      </c>
      <c r="K555">
        <v>203080</v>
      </c>
    </row>
    <row r="556" spans="1:11" x14ac:dyDescent="0.25">
      <c r="A556" t="s">
        <v>564</v>
      </c>
      <c r="B556" s="1">
        <v>45218</v>
      </c>
      <c r="C556" t="s">
        <v>1010</v>
      </c>
      <c r="D556" t="s">
        <v>1018</v>
      </c>
      <c r="E556" t="s">
        <v>1023</v>
      </c>
      <c r="F556" t="s">
        <v>1034</v>
      </c>
      <c r="G556">
        <v>4</v>
      </c>
      <c r="H556">
        <v>19953</v>
      </c>
      <c r="I556">
        <v>20</v>
      </c>
      <c r="J556" t="s">
        <v>1037</v>
      </c>
      <c r="K556">
        <v>63849.600000000013</v>
      </c>
    </row>
    <row r="557" spans="1:11" x14ac:dyDescent="0.25">
      <c r="A557" t="s">
        <v>565</v>
      </c>
      <c r="B557" s="1">
        <v>45081</v>
      </c>
      <c r="C557" t="s">
        <v>1011</v>
      </c>
      <c r="D557" t="s">
        <v>1016</v>
      </c>
      <c r="E557" t="s">
        <v>1029</v>
      </c>
      <c r="F557" t="s">
        <v>1034</v>
      </c>
      <c r="G557">
        <v>4</v>
      </c>
      <c r="H557">
        <v>11977</v>
      </c>
      <c r="I557">
        <v>20</v>
      </c>
      <c r="J557" t="s">
        <v>1035</v>
      </c>
      <c r="K557">
        <v>38326.400000000001</v>
      </c>
    </row>
    <row r="558" spans="1:11" x14ac:dyDescent="0.25">
      <c r="A558" t="s">
        <v>566</v>
      </c>
      <c r="B558" s="1">
        <v>45134</v>
      </c>
      <c r="C558" t="s">
        <v>1010</v>
      </c>
      <c r="D558" t="s">
        <v>1017</v>
      </c>
      <c r="E558" t="s">
        <v>1028</v>
      </c>
      <c r="F558" t="s">
        <v>1032</v>
      </c>
      <c r="G558">
        <v>5</v>
      </c>
      <c r="H558">
        <v>3315</v>
      </c>
      <c r="I558">
        <v>0</v>
      </c>
      <c r="J558" t="s">
        <v>1037</v>
      </c>
      <c r="K558">
        <v>16575</v>
      </c>
    </row>
    <row r="559" spans="1:11" x14ac:dyDescent="0.25">
      <c r="A559" t="s">
        <v>567</v>
      </c>
      <c r="B559" s="1">
        <v>45207</v>
      </c>
      <c r="C559" t="s">
        <v>1012</v>
      </c>
      <c r="D559" t="s">
        <v>1016</v>
      </c>
      <c r="E559" t="s">
        <v>1030</v>
      </c>
      <c r="F559" t="s">
        <v>1034</v>
      </c>
      <c r="G559">
        <v>5</v>
      </c>
      <c r="H559">
        <v>46550</v>
      </c>
      <c r="I559">
        <v>15</v>
      </c>
      <c r="J559" t="s">
        <v>1035</v>
      </c>
      <c r="K559">
        <v>197837.5</v>
      </c>
    </row>
    <row r="560" spans="1:11" x14ac:dyDescent="0.25">
      <c r="A560" t="s">
        <v>568</v>
      </c>
      <c r="B560" s="1">
        <v>44927</v>
      </c>
      <c r="C560" t="s">
        <v>1013</v>
      </c>
      <c r="D560" t="s">
        <v>1018</v>
      </c>
      <c r="E560" t="s">
        <v>1026</v>
      </c>
      <c r="F560" t="s">
        <v>1034</v>
      </c>
      <c r="G560">
        <v>2</v>
      </c>
      <c r="H560">
        <v>40166</v>
      </c>
      <c r="I560">
        <v>0</v>
      </c>
      <c r="J560" t="s">
        <v>1038</v>
      </c>
      <c r="K560">
        <v>80332</v>
      </c>
    </row>
    <row r="561" spans="1:11" x14ac:dyDescent="0.25">
      <c r="A561" t="s">
        <v>569</v>
      </c>
      <c r="B561" s="1">
        <v>45082</v>
      </c>
      <c r="C561" t="s">
        <v>1010</v>
      </c>
      <c r="D561" t="s">
        <v>1015</v>
      </c>
      <c r="E561" t="s">
        <v>1025</v>
      </c>
      <c r="F561" t="s">
        <v>1033</v>
      </c>
      <c r="G561">
        <v>10</v>
      </c>
      <c r="H561">
        <v>20927</v>
      </c>
      <c r="I561">
        <v>10</v>
      </c>
      <c r="J561" t="s">
        <v>1039</v>
      </c>
      <c r="K561">
        <v>188343</v>
      </c>
    </row>
    <row r="562" spans="1:11" x14ac:dyDescent="0.25">
      <c r="A562" t="s">
        <v>570</v>
      </c>
      <c r="B562" s="1">
        <v>45073</v>
      </c>
      <c r="C562" t="s">
        <v>1012</v>
      </c>
      <c r="D562" t="s">
        <v>1019</v>
      </c>
      <c r="E562" t="s">
        <v>1028</v>
      </c>
      <c r="F562" t="s">
        <v>1033</v>
      </c>
      <c r="G562">
        <v>7</v>
      </c>
      <c r="H562">
        <v>48642</v>
      </c>
      <c r="I562">
        <v>0</v>
      </c>
      <c r="J562" t="s">
        <v>1038</v>
      </c>
      <c r="K562">
        <v>340494</v>
      </c>
    </row>
    <row r="563" spans="1:11" x14ac:dyDescent="0.25">
      <c r="A563" t="s">
        <v>571</v>
      </c>
      <c r="B563" s="1">
        <v>45034</v>
      </c>
      <c r="C563" t="s">
        <v>1011</v>
      </c>
      <c r="D563" t="s">
        <v>1016</v>
      </c>
      <c r="E563" t="s">
        <v>1024</v>
      </c>
      <c r="F563" t="s">
        <v>1032</v>
      </c>
      <c r="G563">
        <v>10</v>
      </c>
      <c r="H563">
        <v>37943</v>
      </c>
      <c r="I563">
        <v>0</v>
      </c>
      <c r="J563" t="s">
        <v>1036</v>
      </c>
      <c r="K563">
        <v>379430</v>
      </c>
    </row>
    <row r="564" spans="1:11" x14ac:dyDescent="0.25">
      <c r="A564" t="s">
        <v>572</v>
      </c>
      <c r="B564" s="1">
        <v>45147</v>
      </c>
      <c r="C564" t="s">
        <v>1010</v>
      </c>
      <c r="D564" t="s">
        <v>1021</v>
      </c>
      <c r="E564" t="s">
        <v>1030</v>
      </c>
      <c r="F564" t="s">
        <v>1032</v>
      </c>
      <c r="G564">
        <v>4</v>
      </c>
      <c r="H564">
        <v>18068</v>
      </c>
      <c r="I564">
        <v>10</v>
      </c>
      <c r="J564" t="s">
        <v>1037</v>
      </c>
      <c r="K564">
        <v>65044.800000000003</v>
      </c>
    </row>
    <row r="565" spans="1:11" x14ac:dyDescent="0.25">
      <c r="A565" t="s">
        <v>573</v>
      </c>
      <c r="B565" s="1">
        <v>45223</v>
      </c>
      <c r="C565" t="s">
        <v>1011</v>
      </c>
      <c r="D565" t="s">
        <v>1017</v>
      </c>
      <c r="E565" t="s">
        <v>1028</v>
      </c>
      <c r="F565" t="s">
        <v>1033</v>
      </c>
      <c r="G565">
        <v>2</v>
      </c>
      <c r="H565">
        <v>5025</v>
      </c>
      <c r="I565">
        <v>0</v>
      </c>
      <c r="J565" t="s">
        <v>1035</v>
      </c>
      <c r="K565">
        <v>10050</v>
      </c>
    </row>
    <row r="566" spans="1:11" x14ac:dyDescent="0.25">
      <c r="A566" t="s">
        <v>574</v>
      </c>
      <c r="B566" s="1">
        <v>45237</v>
      </c>
      <c r="C566" t="s">
        <v>1013</v>
      </c>
      <c r="D566" t="s">
        <v>1016</v>
      </c>
      <c r="E566" t="s">
        <v>1027</v>
      </c>
      <c r="F566" t="s">
        <v>1032</v>
      </c>
      <c r="G566">
        <v>6</v>
      </c>
      <c r="H566">
        <v>42241</v>
      </c>
      <c r="I566">
        <v>0</v>
      </c>
      <c r="J566" t="s">
        <v>1035</v>
      </c>
      <c r="K566">
        <v>253446</v>
      </c>
    </row>
    <row r="567" spans="1:11" x14ac:dyDescent="0.25">
      <c r="A567" t="s">
        <v>575</v>
      </c>
      <c r="B567" s="1">
        <v>45262</v>
      </c>
      <c r="C567" t="s">
        <v>1011</v>
      </c>
      <c r="D567" t="s">
        <v>1015</v>
      </c>
      <c r="E567" t="s">
        <v>1029</v>
      </c>
      <c r="F567" t="s">
        <v>1032</v>
      </c>
      <c r="G567">
        <v>8</v>
      </c>
      <c r="H567">
        <v>32009</v>
      </c>
      <c r="I567">
        <v>0</v>
      </c>
      <c r="J567" t="s">
        <v>1037</v>
      </c>
      <c r="K567">
        <v>256072</v>
      </c>
    </row>
    <row r="568" spans="1:11" x14ac:dyDescent="0.25">
      <c r="A568" t="s">
        <v>576</v>
      </c>
      <c r="B568" s="1">
        <v>45091</v>
      </c>
      <c r="C568" t="s">
        <v>1012</v>
      </c>
      <c r="D568" t="s">
        <v>1018</v>
      </c>
      <c r="E568" t="s">
        <v>1030</v>
      </c>
      <c r="F568" t="s">
        <v>1033</v>
      </c>
      <c r="G568">
        <v>3</v>
      </c>
      <c r="H568">
        <v>38889</v>
      </c>
      <c r="I568">
        <v>20</v>
      </c>
      <c r="J568" t="s">
        <v>1036</v>
      </c>
      <c r="K568">
        <v>93333.6</v>
      </c>
    </row>
    <row r="569" spans="1:11" x14ac:dyDescent="0.25">
      <c r="A569" t="s">
        <v>577</v>
      </c>
      <c r="B569" s="1">
        <v>45165</v>
      </c>
      <c r="C569" t="s">
        <v>1011</v>
      </c>
      <c r="D569" t="s">
        <v>1016</v>
      </c>
      <c r="E569" t="s">
        <v>1022</v>
      </c>
      <c r="F569" t="s">
        <v>1033</v>
      </c>
      <c r="G569">
        <v>8</v>
      </c>
      <c r="H569">
        <v>12080</v>
      </c>
      <c r="I569">
        <v>5</v>
      </c>
      <c r="J569" t="s">
        <v>1037</v>
      </c>
      <c r="K569">
        <v>91808</v>
      </c>
    </row>
    <row r="570" spans="1:11" x14ac:dyDescent="0.25">
      <c r="A570" t="s">
        <v>578</v>
      </c>
      <c r="B570" s="1">
        <v>45153</v>
      </c>
      <c r="C570" t="s">
        <v>1012</v>
      </c>
      <c r="D570" t="s">
        <v>1019</v>
      </c>
      <c r="E570" t="s">
        <v>1022</v>
      </c>
      <c r="F570" t="s">
        <v>1032</v>
      </c>
      <c r="G570">
        <v>10</v>
      </c>
      <c r="H570">
        <v>38542</v>
      </c>
      <c r="I570">
        <v>20</v>
      </c>
      <c r="J570" t="s">
        <v>1038</v>
      </c>
      <c r="K570">
        <v>308336</v>
      </c>
    </row>
    <row r="571" spans="1:11" x14ac:dyDescent="0.25">
      <c r="A571" t="s">
        <v>579</v>
      </c>
      <c r="B571" s="1">
        <v>45153</v>
      </c>
      <c r="C571" t="s">
        <v>1010</v>
      </c>
      <c r="D571" t="s">
        <v>1017</v>
      </c>
      <c r="E571" t="s">
        <v>1029</v>
      </c>
      <c r="F571" t="s">
        <v>1032</v>
      </c>
      <c r="G571">
        <v>2</v>
      </c>
      <c r="H571">
        <v>4382</v>
      </c>
      <c r="I571">
        <v>5</v>
      </c>
      <c r="J571" t="s">
        <v>1038</v>
      </c>
      <c r="K571">
        <v>8325.7999999999993</v>
      </c>
    </row>
    <row r="572" spans="1:11" x14ac:dyDescent="0.25">
      <c r="A572" t="s">
        <v>580</v>
      </c>
      <c r="B572" s="1">
        <v>45272</v>
      </c>
      <c r="C572" t="s">
        <v>1010</v>
      </c>
      <c r="D572" t="s">
        <v>1021</v>
      </c>
      <c r="E572" t="s">
        <v>1022</v>
      </c>
      <c r="F572" t="s">
        <v>1034</v>
      </c>
      <c r="G572">
        <v>10</v>
      </c>
      <c r="H572">
        <v>44012</v>
      </c>
      <c r="I572">
        <v>5</v>
      </c>
      <c r="J572" t="s">
        <v>1036</v>
      </c>
      <c r="K572">
        <v>418114</v>
      </c>
    </row>
    <row r="573" spans="1:11" x14ac:dyDescent="0.25">
      <c r="A573" t="s">
        <v>581</v>
      </c>
      <c r="B573" s="1">
        <v>45036</v>
      </c>
      <c r="C573" t="s">
        <v>1012</v>
      </c>
      <c r="D573" t="s">
        <v>1016</v>
      </c>
      <c r="E573" t="s">
        <v>1029</v>
      </c>
      <c r="F573" t="s">
        <v>1032</v>
      </c>
      <c r="G573">
        <v>5</v>
      </c>
      <c r="H573">
        <v>20120</v>
      </c>
      <c r="I573">
        <v>10</v>
      </c>
      <c r="J573" t="s">
        <v>1037</v>
      </c>
      <c r="K573">
        <v>90540</v>
      </c>
    </row>
    <row r="574" spans="1:11" x14ac:dyDescent="0.25">
      <c r="A574" t="s">
        <v>582</v>
      </c>
      <c r="B574" s="1">
        <v>45188</v>
      </c>
      <c r="C574" t="s">
        <v>1013</v>
      </c>
      <c r="D574" t="s">
        <v>1018</v>
      </c>
      <c r="E574" t="s">
        <v>1031</v>
      </c>
      <c r="F574" t="s">
        <v>1034</v>
      </c>
      <c r="G574">
        <v>1</v>
      </c>
      <c r="H574">
        <v>49324</v>
      </c>
      <c r="I574">
        <v>0</v>
      </c>
      <c r="J574" t="s">
        <v>1038</v>
      </c>
      <c r="K574">
        <v>49324</v>
      </c>
    </row>
    <row r="575" spans="1:11" x14ac:dyDescent="0.25">
      <c r="A575" t="s">
        <v>583</v>
      </c>
      <c r="B575" s="1">
        <v>45169</v>
      </c>
      <c r="C575" t="s">
        <v>1013</v>
      </c>
      <c r="D575" t="s">
        <v>1019</v>
      </c>
      <c r="E575" t="s">
        <v>1029</v>
      </c>
      <c r="F575" t="s">
        <v>1033</v>
      </c>
      <c r="G575">
        <v>10</v>
      </c>
      <c r="H575">
        <v>41915</v>
      </c>
      <c r="I575">
        <v>0</v>
      </c>
      <c r="J575" t="s">
        <v>1035</v>
      </c>
      <c r="K575">
        <v>419150</v>
      </c>
    </row>
    <row r="576" spans="1:11" x14ac:dyDescent="0.25">
      <c r="A576" t="s">
        <v>584</v>
      </c>
      <c r="B576" s="1">
        <v>45013</v>
      </c>
      <c r="C576" t="s">
        <v>1013</v>
      </c>
      <c r="D576" t="s">
        <v>1018</v>
      </c>
      <c r="E576" t="s">
        <v>1023</v>
      </c>
      <c r="F576" t="s">
        <v>1033</v>
      </c>
      <c r="G576">
        <v>7</v>
      </c>
      <c r="H576">
        <v>2789</v>
      </c>
      <c r="I576">
        <v>5</v>
      </c>
      <c r="J576" t="s">
        <v>1035</v>
      </c>
      <c r="K576">
        <v>18546.849999999999</v>
      </c>
    </row>
    <row r="577" spans="1:11" x14ac:dyDescent="0.25">
      <c r="A577" t="s">
        <v>585</v>
      </c>
      <c r="B577" s="1">
        <v>45264</v>
      </c>
      <c r="C577" t="s">
        <v>1010</v>
      </c>
      <c r="D577" t="s">
        <v>1016</v>
      </c>
      <c r="E577" t="s">
        <v>1022</v>
      </c>
      <c r="F577" t="s">
        <v>1033</v>
      </c>
      <c r="G577">
        <v>2</v>
      </c>
      <c r="H577">
        <v>19796</v>
      </c>
      <c r="I577">
        <v>10</v>
      </c>
      <c r="J577" t="s">
        <v>1039</v>
      </c>
      <c r="K577">
        <v>35632.800000000003</v>
      </c>
    </row>
    <row r="578" spans="1:11" x14ac:dyDescent="0.25">
      <c r="A578" t="s">
        <v>586</v>
      </c>
      <c r="B578" s="1">
        <v>44970</v>
      </c>
      <c r="C578" t="s">
        <v>1010</v>
      </c>
      <c r="D578" t="s">
        <v>1020</v>
      </c>
      <c r="E578" t="s">
        <v>1025</v>
      </c>
      <c r="F578" t="s">
        <v>1033</v>
      </c>
      <c r="G578">
        <v>1</v>
      </c>
      <c r="H578">
        <v>32769</v>
      </c>
      <c r="I578">
        <v>20</v>
      </c>
      <c r="J578" t="s">
        <v>1037</v>
      </c>
      <c r="K578">
        <v>26215.200000000001</v>
      </c>
    </row>
    <row r="579" spans="1:11" x14ac:dyDescent="0.25">
      <c r="A579" t="s">
        <v>587</v>
      </c>
      <c r="B579" s="1">
        <v>45072</v>
      </c>
      <c r="C579" t="s">
        <v>1013</v>
      </c>
      <c r="D579" t="s">
        <v>1021</v>
      </c>
      <c r="E579" t="s">
        <v>1023</v>
      </c>
      <c r="F579" t="s">
        <v>1032</v>
      </c>
      <c r="G579">
        <v>6</v>
      </c>
      <c r="H579">
        <v>6407</v>
      </c>
      <c r="I579">
        <v>10</v>
      </c>
      <c r="J579" t="s">
        <v>1036</v>
      </c>
      <c r="K579">
        <v>34597.800000000003</v>
      </c>
    </row>
    <row r="580" spans="1:11" x14ac:dyDescent="0.25">
      <c r="A580" t="s">
        <v>588</v>
      </c>
      <c r="B580" s="1">
        <v>45190</v>
      </c>
      <c r="C580" t="s">
        <v>1011</v>
      </c>
      <c r="D580" t="s">
        <v>1015</v>
      </c>
      <c r="E580" t="s">
        <v>1031</v>
      </c>
      <c r="F580" t="s">
        <v>1032</v>
      </c>
      <c r="G580">
        <v>6</v>
      </c>
      <c r="H580">
        <v>9311</v>
      </c>
      <c r="I580">
        <v>10</v>
      </c>
      <c r="J580" t="s">
        <v>1035</v>
      </c>
      <c r="K580">
        <v>50279.4</v>
      </c>
    </row>
    <row r="581" spans="1:11" x14ac:dyDescent="0.25">
      <c r="A581" t="s">
        <v>589</v>
      </c>
      <c r="B581" s="1">
        <v>45266</v>
      </c>
      <c r="C581" t="s">
        <v>1013</v>
      </c>
      <c r="D581" t="s">
        <v>1014</v>
      </c>
      <c r="E581" t="s">
        <v>1028</v>
      </c>
      <c r="F581" t="s">
        <v>1034</v>
      </c>
      <c r="G581">
        <v>7</v>
      </c>
      <c r="H581">
        <v>34134</v>
      </c>
      <c r="I581">
        <v>5</v>
      </c>
      <c r="J581" t="s">
        <v>1035</v>
      </c>
      <c r="K581">
        <v>226991.1</v>
      </c>
    </row>
    <row r="582" spans="1:11" x14ac:dyDescent="0.25">
      <c r="A582" t="s">
        <v>590</v>
      </c>
      <c r="B582" s="1">
        <v>45251</v>
      </c>
      <c r="C582" t="s">
        <v>1011</v>
      </c>
      <c r="D582" t="s">
        <v>1017</v>
      </c>
      <c r="E582" t="s">
        <v>1024</v>
      </c>
      <c r="F582" t="s">
        <v>1033</v>
      </c>
      <c r="G582">
        <v>7</v>
      </c>
      <c r="H582">
        <v>6037</v>
      </c>
      <c r="I582">
        <v>20</v>
      </c>
      <c r="J582" t="s">
        <v>1038</v>
      </c>
      <c r="K582">
        <v>33807.199999999997</v>
      </c>
    </row>
    <row r="583" spans="1:11" x14ac:dyDescent="0.25">
      <c r="A583" t="s">
        <v>591</v>
      </c>
      <c r="B583" s="1">
        <v>45244</v>
      </c>
      <c r="C583" t="s">
        <v>1013</v>
      </c>
      <c r="D583" t="s">
        <v>1021</v>
      </c>
      <c r="E583" t="s">
        <v>1026</v>
      </c>
      <c r="F583" t="s">
        <v>1032</v>
      </c>
      <c r="G583">
        <v>2</v>
      </c>
      <c r="H583">
        <v>19209</v>
      </c>
      <c r="I583">
        <v>20</v>
      </c>
      <c r="J583" t="s">
        <v>1035</v>
      </c>
      <c r="K583">
        <v>30734.400000000001</v>
      </c>
    </row>
    <row r="584" spans="1:11" x14ac:dyDescent="0.25">
      <c r="A584" t="s">
        <v>592</v>
      </c>
      <c r="B584" s="1">
        <v>45098</v>
      </c>
      <c r="C584" t="s">
        <v>1011</v>
      </c>
      <c r="D584" t="s">
        <v>1017</v>
      </c>
      <c r="E584" t="s">
        <v>1029</v>
      </c>
      <c r="F584" t="s">
        <v>1034</v>
      </c>
      <c r="G584">
        <v>4</v>
      </c>
      <c r="H584">
        <v>17518</v>
      </c>
      <c r="I584">
        <v>5</v>
      </c>
      <c r="J584" t="s">
        <v>1037</v>
      </c>
      <c r="K584">
        <v>66568.399999999994</v>
      </c>
    </row>
    <row r="585" spans="1:11" x14ac:dyDescent="0.25">
      <c r="A585" t="s">
        <v>593</v>
      </c>
      <c r="B585" s="1">
        <v>44974</v>
      </c>
      <c r="C585" t="s">
        <v>1010</v>
      </c>
      <c r="D585" t="s">
        <v>1019</v>
      </c>
      <c r="E585" t="s">
        <v>1022</v>
      </c>
      <c r="F585" t="s">
        <v>1034</v>
      </c>
      <c r="G585">
        <v>10</v>
      </c>
      <c r="H585">
        <v>9686</v>
      </c>
      <c r="I585">
        <v>20</v>
      </c>
      <c r="J585" t="s">
        <v>1037</v>
      </c>
      <c r="K585">
        <v>77488</v>
      </c>
    </row>
    <row r="586" spans="1:11" x14ac:dyDescent="0.25">
      <c r="A586" t="s">
        <v>594</v>
      </c>
      <c r="B586" s="1">
        <v>45047</v>
      </c>
      <c r="C586" t="s">
        <v>1013</v>
      </c>
      <c r="D586" t="s">
        <v>1020</v>
      </c>
      <c r="E586" t="s">
        <v>1023</v>
      </c>
      <c r="F586" t="s">
        <v>1034</v>
      </c>
      <c r="G586">
        <v>1</v>
      </c>
      <c r="H586">
        <v>41356</v>
      </c>
      <c r="I586">
        <v>20</v>
      </c>
      <c r="J586" t="s">
        <v>1039</v>
      </c>
      <c r="K586">
        <v>33084.800000000003</v>
      </c>
    </row>
    <row r="587" spans="1:11" x14ac:dyDescent="0.25">
      <c r="A587" t="s">
        <v>595</v>
      </c>
      <c r="B587" s="1">
        <v>45271</v>
      </c>
      <c r="C587" t="s">
        <v>1013</v>
      </c>
      <c r="D587" t="s">
        <v>1018</v>
      </c>
      <c r="E587" t="s">
        <v>1031</v>
      </c>
      <c r="F587" t="s">
        <v>1033</v>
      </c>
      <c r="G587">
        <v>7</v>
      </c>
      <c r="H587">
        <v>19413</v>
      </c>
      <c r="I587">
        <v>0</v>
      </c>
      <c r="J587" t="s">
        <v>1038</v>
      </c>
      <c r="K587">
        <v>135891</v>
      </c>
    </row>
    <row r="588" spans="1:11" x14ac:dyDescent="0.25">
      <c r="A588" t="s">
        <v>596</v>
      </c>
      <c r="B588" s="1">
        <v>45085</v>
      </c>
      <c r="C588" t="s">
        <v>1012</v>
      </c>
      <c r="D588" t="s">
        <v>1017</v>
      </c>
      <c r="E588" t="s">
        <v>1027</v>
      </c>
      <c r="F588" t="s">
        <v>1034</v>
      </c>
      <c r="G588">
        <v>1</v>
      </c>
      <c r="H588">
        <v>19036</v>
      </c>
      <c r="I588">
        <v>0</v>
      </c>
      <c r="J588" t="s">
        <v>1037</v>
      </c>
      <c r="K588">
        <v>19036</v>
      </c>
    </row>
    <row r="589" spans="1:11" x14ac:dyDescent="0.25">
      <c r="A589" t="s">
        <v>597</v>
      </c>
      <c r="B589" s="1">
        <v>45042</v>
      </c>
      <c r="C589" t="s">
        <v>1013</v>
      </c>
      <c r="D589" t="s">
        <v>1015</v>
      </c>
      <c r="E589" t="s">
        <v>1031</v>
      </c>
      <c r="F589" t="s">
        <v>1033</v>
      </c>
      <c r="G589">
        <v>5</v>
      </c>
      <c r="H589">
        <v>17839</v>
      </c>
      <c r="I589">
        <v>20</v>
      </c>
      <c r="J589" t="s">
        <v>1037</v>
      </c>
      <c r="K589">
        <v>71356</v>
      </c>
    </row>
    <row r="590" spans="1:11" x14ac:dyDescent="0.25">
      <c r="A590" t="s">
        <v>598</v>
      </c>
      <c r="B590" s="1">
        <v>45028</v>
      </c>
      <c r="C590" t="s">
        <v>1011</v>
      </c>
      <c r="D590" t="s">
        <v>1019</v>
      </c>
      <c r="E590" t="s">
        <v>1030</v>
      </c>
      <c r="F590" t="s">
        <v>1034</v>
      </c>
      <c r="G590">
        <v>9</v>
      </c>
      <c r="H590">
        <v>1930</v>
      </c>
      <c r="I590">
        <v>0</v>
      </c>
      <c r="J590" t="s">
        <v>1038</v>
      </c>
      <c r="K590">
        <v>17370</v>
      </c>
    </row>
    <row r="591" spans="1:11" x14ac:dyDescent="0.25">
      <c r="A591" t="s">
        <v>599</v>
      </c>
      <c r="B591" s="1">
        <v>45002</v>
      </c>
      <c r="C591" t="s">
        <v>1012</v>
      </c>
      <c r="D591" t="s">
        <v>1021</v>
      </c>
      <c r="E591" t="s">
        <v>1031</v>
      </c>
      <c r="F591" t="s">
        <v>1034</v>
      </c>
      <c r="G591">
        <v>1</v>
      </c>
      <c r="H591">
        <v>49590</v>
      </c>
      <c r="I591">
        <v>20</v>
      </c>
      <c r="J591" t="s">
        <v>1038</v>
      </c>
      <c r="K591">
        <v>39672</v>
      </c>
    </row>
    <row r="592" spans="1:11" x14ac:dyDescent="0.25">
      <c r="A592" t="s">
        <v>600</v>
      </c>
      <c r="B592" s="1">
        <v>44939</v>
      </c>
      <c r="C592" t="s">
        <v>1013</v>
      </c>
      <c r="D592" t="s">
        <v>1019</v>
      </c>
      <c r="E592" t="s">
        <v>1027</v>
      </c>
      <c r="F592" t="s">
        <v>1034</v>
      </c>
      <c r="G592">
        <v>6</v>
      </c>
      <c r="H592">
        <v>8310</v>
      </c>
      <c r="I592">
        <v>5</v>
      </c>
      <c r="J592" t="s">
        <v>1038</v>
      </c>
      <c r="K592">
        <v>47367</v>
      </c>
    </row>
    <row r="593" spans="1:11" x14ac:dyDescent="0.25">
      <c r="A593" t="s">
        <v>601</v>
      </c>
      <c r="B593" s="1">
        <v>44950</v>
      </c>
      <c r="C593" t="s">
        <v>1013</v>
      </c>
      <c r="D593" t="s">
        <v>1015</v>
      </c>
      <c r="E593" t="s">
        <v>1028</v>
      </c>
      <c r="F593" t="s">
        <v>1032</v>
      </c>
      <c r="G593">
        <v>9</v>
      </c>
      <c r="H593">
        <v>40572</v>
      </c>
      <c r="I593">
        <v>5</v>
      </c>
      <c r="J593" t="s">
        <v>1038</v>
      </c>
      <c r="K593">
        <v>346890.6</v>
      </c>
    </row>
    <row r="594" spans="1:11" x14ac:dyDescent="0.25">
      <c r="A594" t="s">
        <v>602</v>
      </c>
      <c r="B594" s="1">
        <v>45052</v>
      </c>
      <c r="C594" t="s">
        <v>1010</v>
      </c>
      <c r="D594" t="s">
        <v>1018</v>
      </c>
      <c r="E594" t="s">
        <v>1023</v>
      </c>
      <c r="F594" t="s">
        <v>1033</v>
      </c>
      <c r="G594">
        <v>10</v>
      </c>
      <c r="H594">
        <v>12443</v>
      </c>
      <c r="I594">
        <v>10</v>
      </c>
      <c r="J594" t="s">
        <v>1039</v>
      </c>
      <c r="K594">
        <v>111987</v>
      </c>
    </row>
    <row r="595" spans="1:11" x14ac:dyDescent="0.25">
      <c r="A595" t="s">
        <v>603</v>
      </c>
      <c r="B595" s="1">
        <v>45170</v>
      </c>
      <c r="C595" t="s">
        <v>1012</v>
      </c>
      <c r="D595" t="s">
        <v>1018</v>
      </c>
      <c r="E595" t="s">
        <v>1023</v>
      </c>
      <c r="F595" t="s">
        <v>1034</v>
      </c>
      <c r="G595">
        <v>3</v>
      </c>
      <c r="H595">
        <v>39782</v>
      </c>
      <c r="I595">
        <v>5</v>
      </c>
      <c r="J595" t="s">
        <v>1035</v>
      </c>
      <c r="K595">
        <v>113378.7</v>
      </c>
    </row>
    <row r="596" spans="1:11" x14ac:dyDescent="0.25">
      <c r="A596" t="s">
        <v>604</v>
      </c>
      <c r="B596" s="1">
        <v>45239</v>
      </c>
      <c r="C596" t="s">
        <v>1011</v>
      </c>
      <c r="D596" t="s">
        <v>1020</v>
      </c>
      <c r="E596" t="s">
        <v>1030</v>
      </c>
      <c r="F596" t="s">
        <v>1033</v>
      </c>
      <c r="G596">
        <v>6</v>
      </c>
      <c r="H596">
        <v>49428</v>
      </c>
      <c r="I596">
        <v>20</v>
      </c>
      <c r="J596" t="s">
        <v>1036</v>
      </c>
      <c r="K596">
        <v>237254.39999999999</v>
      </c>
    </row>
    <row r="597" spans="1:11" x14ac:dyDescent="0.25">
      <c r="A597" t="s">
        <v>605</v>
      </c>
      <c r="B597" s="1">
        <v>44964</v>
      </c>
      <c r="C597" t="s">
        <v>1013</v>
      </c>
      <c r="D597" t="s">
        <v>1017</v>
      </c>
      <c r="E597" t="s">
        <v>1025</v>
      </c>
      <c r="F597" t="s">
        <v>1033</v>
      </c>
      <c r="G597">
        <v>9</v>
      </c>
      <c r="H597">
        <v>10904</v>
      </c>
      <c r="I597">
        <v>0</v>
      </c>
      <c r="J597" t="s">
        <v>1038</v>
      </c>
      <c r="K597">
        <v>98136</v>
      </c>
    </row>
    <row r="598" spans="1:11" x14ac:dyDescent="0.25">
      <c r="A598" t="s">
        <v>606</v>
      </c>
      <c r="B598" s="1">
        <v>45160</v>
      </c>
      <c r="C598" t="s">
        <v>1010</v>
      </c>
      <c r="D598" t="s">
        <v>1017</v>
      </c>
      <c r="E598" t="s">
        <v>1026</v>
      </c>
      <c r="F598" t="s">
        <v>1034</v>
      </c>
      <c r="G598">
        <v>4</v>
      </c>
      <c r="H598">
        <v>44198</v>
      </c>
      <c r="I598">
        <v>0</v>
      </c>
      <c r="J598" t="s">
        <v>1037</v>
      </c>
      <c r="K598">
        <v>176792</v>
      </c>
    </row>
    <row r="599" spans="1:11" x14ac:dyDescent="0.25">
      <c r="A599" t="s">
        <v>607</v>
      </c>
      <c r="B599" s="1">
        <v>45139</v>
      </c>
      <c r="C599" t="s">
        <v>1013</v>
      </c>
      <c r="D599" t="s">
        <v>1018</v>
      </c>
      <c r="E599" t="s">
        <v>1025</v>
      </c>
      <c r="F599" t="s">
        <v>1034</v>
      </c>
      <c r="G599">
        <v>3</v>
      </c>
      <c r="H599">
        <v>30271</v>
      </c>
      <c r="I599">
        <v>5</v>
      </c>
      <c r="J599" t="s">
        <v>1036</v>
      </c>
      <c r="K599">
        <v>86272.349999999991</v>
      </c>
    </row>
    <row r="600" spans="1:11" x14ac:dyDescent="0.25">
      <c r="A600" t="s">
        <v>608</v>
      </c>
      <c r="B600" s="1">
        <v>45249</v>
      </c>
      <c r="C600" t="s">
        <v>1012</v>
      </c>
      <c r="D600" t="s">
        <v>1018</v>
      </c>
      <c r="E600" t="s">
        <v>1029</v>
      </c>
      <c r="F600" t="s">
        <v>1032</v>
      </c>
      <c r="G600">
        <v>1</v>
      </c>
      <c r="H600">
        <v>25233</v>
      </c>
      <c r="I600">
        <v>20</v>
      </c>
      <c r="J600" t="s">
        <v>1039</v>
      </c>
      <c r="K600">
        <v>20186.400000000001</v>
      </c>
    </row>
    <row r="601" spans="1:11" x14ac:dyDescent="0.25">
      <c r="A601" t="s">
        <v>609</v>
      </c>
      <c r="B601" s="1">
        <v>45221</v>
      </c>
      <c r="C601" t="s">
        <v>1011</v>
      </c>
      <c r="D601" t="s">
        <v>1014</v>
      </c>
      <c r="E601" t="s">
        <v>1024</v>
      </c>
      <c r="F601" t="s">
        <v>1034</v>
      </c>
      <c r="G601">
        <v>7</v>
      </c>
      <c r="H601">
        <v>12494</v>
      </c>
      <c r="I601">
        <v>15</v>
      </c>
      <c r="J601" t="s">
        <v>1036</v>
      </c>
      <c r="K601">
        <v>74339.3</v>
      </c>
    </row>
    <row r="602" spans="1:11" x14ac:dyDescent="0.25">
      <c r="A602" t="s">
        <v>610</v>
      </c>
      <c r="B602" s="1">
        <v>45026</v>
      </c>
      <c r="C602" t="s">
        <v>1010</v>
      </c>
      <c r="D602" t="s">
        <v>1016</v>
      </c>
      <c r="E602" t="s">
        <v>1029</v>
      </c>
      <c r="F602" t="s">
        <v>1033</v>
      </c>
      <c r="G602">
        <v>8</v>
      </c>
      <c r="H602">
        <v>18121</v>
      </c>
      <c r="I602">
        <v>10</v>
      </c>
      <c r="J602" t="s">
        <v>1036</v>
      </c>
      <c r="K602">
        <v>130471.2</v>
      </c>
    </row>
    <row r="603" spans="1:11" x14ac:dyDescent="0.25">
      <c r="A603" t="s">
        <v>611</v>
      </c>
      <c r="B603" s="1">
        <v>45283</v>
      </c>
      <c r="C603" t="s">
        <v>1013</v>
      </c>
      <c r="D603" t="s">
        <v>1020</v>
      </c>
      <c r="E603" t="s">
        <v>1030</v>
      </c>
      <c r="F603" t="s">
        <v>1033</v>
      </c>
      <c r="G603">
        <v>10</v>
      </c>
      <c r="H603">
        <v>46925</v>
      </c>
      <c r="I603">
        <v>20</v>
      </c>
      <c r="J603" t="s">
        <v>1035</v>
      </c>
      <c r="K603">
        <v>375400</v>
      </c>
    </row>
    <row r="604" spans="1:11" x14ac:dyDescent="0.25">
      <c r="A604" t="s">
        <v>612</v>
      </c>
      <c r="B604" s="1">
        <v>45123</v>
      </c>
      <c r="C604" t="s">
        <v>1011</v>
      </c>
      <c r="D604" t="s">
        <v>1020</v>
      </c>
      <c r="E604" t="s">
        <v>1027</v>
      </c>
      <c r="F604" t="s">
        <v>1032</v>
      </c>
      <c r="G604">
        <v>10</v>
      </c>
      <c r="H604">
        <v>16479</v>
      </c>
      <c r="I604">
        <v>5</v>
      </c>
      <c r="J604" t="s">
        <v>1035</v>
      </c>
      <c r="K604">
        <v>156550.5</v>
      </c>
    </row>
    <row r="605" spans="1:11" x14ac:dyDescent="0.25">
      <c r="A605" t="s">
        <v>613</v>
      </c>
      <c r="B605" s="1">
        <v>45180</v>
      </c>
      <c r="C605" t="s">
        <v>1013</v>
      </c>
      <c r="D605" t="s">
        <v>1021</v>
      </c>
      <c r="E605" t="s">
        <v>1022</v>
      </c>
      <c r="F605" t="s">
        <v>1034</v>
      </c>
      <c r="G605">
        <v>9</v>
      </c>
      <c r="H605">
        <v>32779</v>
      </c>
      <c r="I605">
        <v>15</v>
      </c>
      <c r="J605" t="s">
        <v>1038</v>
      </c>
      <c r="K605">
        <v>250759.35</v>
      </c>
    </row>
    <row r="606" spans="1:11" x14ac:dyDescent="0.25">
      <c r="A606" t="s">
        <v>614</v>
      </c>
      <c r="B606" s="1">
        <v>45131</v>
      </c>
      <c r="C606" t="s">
        <v>1013</v>
      </c>
      <c r="D606" t="s">
        <v>1016</v>
      </c>
      <c r="E606" t="s">
        <v>1022</v>
      </c>
      <c r="F606" t="s">
        <v>1033</v>
      </c>
      <c r="G606">
        <v>2</v>
      </c>
      <c r="H606">
        <v>12849</v>
      </c>
      <c r="I606">
        <v>0</v>
      </c>
      <c r="J606" t="s">
        <v>1037</v>
      </c>
      <c r="K606">
        <v>25698</v>
      </c>
    </row>
    <row r="607" spans="1:11" x14ac:dyDescent="0.25">
      <c r="A607" t="s">
        <v>615</v>
      </c>
      <c r="B607" s="1">
        <v>45051</v>
      </c>
      <c r="C607" t="s">
        <v>1012</v>
      </c>
      <c r="D607" t="s">
        <v>1015</v>
      </c>
      <c r="E607" t="s">
        <v>1022</v>
      </c>
      <c r="F607" t="s">
        <v>1033</v>
      </c>
      <c r="G607">
        <v>4</v>
      </c>
      <c r="H607">
        <v>35562</v>
      </c>
      <c r="I607">
        <v>5</v>
      </c>
      <c r="J607" t="s">
        <v>1038</v>
      </c>
      <c r="K607">
        <v>135135.6</v>
      </c>
    </row>
    <row r="608" spans="1:11" x14ac:dyDescent="0.25">
      <c r="A608" t="s">
        <v>616</v>
      </c>
      <c r="B608" s="1">
        <v>45002</v>
      </c>
      <c r="C608" t="s">
        <v>1012</v>
      </c>
      <c r="D608" t="s">
        <v>1014</v>
      </c>
      <c r="E608" t="s">
        <v>1022</v>
      </c>
      <c r="F608" t="s">
        <v>1033</v>
      </c>
      <c r="G608">
        <v>7</v>
      </c>
      <c r="H608">
        <v>3168</v>
      </c>
      <c r="I608">
        <v>10</v>
      </c>
      <c r="J608" t="s">
        <v>1036</v>
      </c>
      <c r="K608">
        <v>19958.400000000001</v>
      </c>
    </row>
    <row r="609" spans="1:11" x14ac:dyDescent="0.25">
      <c r="A609" t="s">
        <v>617</v>
      </c>
      <c r="B609" s="1">
        <v>45262</v>
      </c>
      <c r="C609" t="s">
        <v>1013</v>
      </c>
      <c r="D609" t="s">
        <v>1018</v>
      </c>
      <c r="E609" t="s">
        <v>1025</v>
      </c>
      <c r="F609" t="s">
        <v>1033</v>
      </c>
      <c r="G609">
        <v>5</v>
      </c>
      <c r="H609">
        <v>23468</v>
      </c>
      <c r="I609">
        <v>15</v>
      </c>
      <c r="J609" t="s">
        <v>1038</v>
      </c>
      <c r="K609">
        <v>99739</v>
      </c>
    </row>
    <row r="610" spans="1:11" x14ac:dyDescent="0.25">
      <c r="A610" t="s">
        <v>618</v>
      </c>
      <c r="B610" s="1">
        <v>45279</v>
      </c>
      <c r="C610" t="s">
        <v>1010</v>
      </c>
      <c r="D610" t="s">
        <v>1016</v>
      </c>
      <c r="E610" t="s">
        <v>1024</v>
      </c>
      <c r="F610" t="s">
        <v>1033</v>
      </c>
      <c r="G610">
        <v>7</v>
      </c>
      <c r="H610">
        <v>6531</v>
      </c>
      <c r="I610">
        <v>15</v>
      </c>
      <c r="J610" t="s">
        <v>1036</v>
      </c>
      <c r="K610">
        <v>38859.449999999997</v>
      </c>
    </row>
    <row r="611" spans="1:11" x14ac:dyDescent="0.25">
      <c r="A611" t="s">
        <v>619</v>
      </c>
      <c r="B611" s="1">
        <v>44929</v>
      </c>
      <c r="C611" t="s">
        <v>1012</v>
      </c>
      <c r="D611" t="s">
        <v>1018</v>
      </c>
      <c r="E611" t="s">
        <v>1028</v>
      </c>
      <c r="F611" t="s">
        <v>1034</v>
      </c>
      <c r="G611">
        <v>3</v>
      </c>
      <c r="H611">
        <v>10507</v>
      </c>
      <c r="I611">
        <v>5</v>
      </c>
      <c r="J611" t="s">
        <v>1037</v>
      </c>
      <c r="K611">
        <v>29944.95</v>
      </c>
    </row>
    <row r="612" spans="1:11" x14ac:dyDescent="0.25">
      <c r="A612" t="s">
        <v>620</v>
      </c>
      <c r="B612" s="1">
        <v>44981</v>
      </c>
      <c r="C612" t="s">
        <v>1012</v>
      </c>
      <c r="D612" t="s">
        <v>1020</v>
      </c>
      <c r="E612" t="s">
        <v>1029</v>
      </c>
      <c r="F612" t="s">
        <v>1032</v>
      </c>
      <c r="G612">
        <v>3</v>
      </c>
      <c r="H612">
        <v>40029</v>
      </c>
      <c r="I612">
        <v>20</v>
      </c>
      <c r="J612" t="s">
        <v>1039</v>
      </c>
      <c r="K612">
        <v>96069.6</v>
      </c>
    </row>
    <row r="613" spans="1:11" x14ac:dyDescent="0.25">
      <c r="A613" t="s">
        <v>621</v>
      </c>
      <c r="B613" s="1">
        <v>45144</v>
      </c>
      <c r="C613" t="s">
        <v>1012</v>
      </c>
      <c r="D613" t="s">
        <v>1014</v>
      </c>
      <c r="E613" t="s">
        <v>1029</v>
      </c>
      <c r="F613" t="s">
        <v>1034</v>
      </c>
      <c r="G613">
        <v>6</v>
      </c>
      <c r="H613">
        <v>11102</v>
      </c>
      <c r="I613">
        <v>5</v>
      </c>
      <c r="J613" t="s">
        <v>1036</v>
      </c>
      <c r="K613">
        <v>63281.399999999987</v>
      </c>
    </row>
    <row r="614" spans="1:11" x14ac:dyDescent="0.25">
      <c r="A614" t="s">
        <v>622</v>
      </c>
      <c r="B614" s="1">
        <v>45039</v>
      </c>
      <c r="C614" t="s">
        <v>1012</v>
      </c>
      <c r="D614" t="s">
        <v>1020</v>
      </c>
      <c r="E614" t="s">
        <v>1031</v>
      </c>
      <c r="F614" t="s">
        <v>1032</v>
      </c>
      <c r="G614">
        <v>2</v>
      </c>
      <c r="H614">
        <v>33502</v>
      </c>
      <c r="I614">
        <v>15</v>
      </c>
      <c r="J614" t="s">
        <v>1039</v>
      </c>
      <c r="K614">
        <v>56953.4</v>
      </c>
    </row>
    <row r="615" spans="1:11" x14ac:dyDescent="0.25">
      <c r="A615" t="s">
        <v>623</v>
      </c>
      <c r="B615" s="1">
        <v>45017</v>
      </c>
      <c r="C615" t="s">
        <v>1011</v>
      </c>
      <c r="D615" t="s">
        <v>1019</v>
      </c>
      <c r="E615" t="s">
        <v>1030</v>
      </c>
      <c r="F615" t="s">
        <v>1033</v>
      </c>
      <c r="G615">
        <v>8</v>
      </c>
      <c r="H615">
        <v>28062</v>
      </c>
      <c r="I615">
        <v>0</v>
      </c>
      <c r="J615" t="s">
        <v>1035</v>
      </c>
      <c r="K615">
        <v>224496</v>
      </c>
    </row>
    <row r="616" spans="1:11" x14ac:dyDescent="0.25">
      <c r="A616" t="s">
        <v>624</v>
      </c>
      <c r="B616" s="1">
        <v>45283</v>
      </c>
      <c r="C616" t="s">
        <v>1013</v>
      </c>
      <c r="D616" t="s">
        <v>1021</v>
      </c>
      <c r="E616" t="s">
        <v>1030</v>
      </c>
      <c r="F616" t="s">
        <v>1032</v>
      </c>
      <c r="G616">
        <v>10</v>
      </c>
      <c r="H616">
        <v>26111</v>
      </c>
      <c r="I616">
        <v>10</v>
      </c>
      <c r="J616" t="s">
        <v>1038</v>
      </c>
      <c r="K616">
        <v>234999</v>
      </c>
    </row>
    <row r="617" spans="1:11" x14ac:dyDescent="0.25">
      <c r="A617" t="s">
        <v>625</v>
      </c>
      <c r="B617" s="1">
        <v>45192</v>
      </c>
      <c r="C617" t="s">
        <v>1011</v>
      </c>
      <c r="D617" t="s">
        <v>1021</v>
      </c>
      <c r="E617" t="s">
        <v>1027</v>
      </c>
      <c r="F617" t="s">
        <v>1032</v>
      </c>
      <c r="G617">
        <v>1</v>
      </c>
      <c r="H617">
        <v>16594</v>
      </c>
      <c r="I617">
        <v>0</v>
      </c>
      <c r="J617" t="s">
        <v>1038</v>
      </c>
      <c r="K617">
        <v>16594</v>
      </c>
    </row>
    <row r="618" spans="1:11" x14ac:dyDescent="0.25">
      <c r="A618" t="s">
        <v>626</v>
      </c>
      <c r="B618" s="1">
        <v>45164</v>
      </c>
      <c r="C618" t="s">
        <v>1011</v>
      </c>
      <c r="D618" t="s">
        <v>1017</v>
      </c>
      <c r="E618" t="s">
        <v>1029</v>
      </c>
      <c r="F618" t="s">
        <v>1032</v>
      </c>
      <c r="G618">
        <v>9</v>
      </c>
      <c r="H618">
        <v>44297</v>
      </c>
      <c r="I618">
        <v>15</v>
      </c>
      <c r="J618" t="s">
        <v>1039</v>
      </c>
      <c r="K618">
        <v>338872.05</v>
      </c>
    </row>
    <row r="619" spans="1:11" x14ac:dyDescent="0.25">
      <c r="A619" t="s">
        <v>627</v>
      </c>
      <c r="B619" s="1">
        <v>44952</v>
      </c>
      <c r="C619" t="s">
        <v>1013</v>
      </c>
      <c r="D619" t="s">
        <v>1016</v>
      </c>
      <c r="E619" t="s">
        <v>1022</v>
      </c>
      <c r="F619" t="s">
        <v>1034</v>
      </c>
      <c r="G619">
        <v>7</v>
      </c>
      <c r="H619">
        <v>29847</v>
      </c>
      <c r="I619">
        <v>0</v>
      </c>
      <c r="J619" t="s">
        <v>1035</v>
      </c>
      <c r="K619">
        <v>208929</v>
      </c>
    </row>
    <row r="620" spans="1:11" x14ac:dyDescent="0.25">
      <c r="A620" t="s">
        <v>628</v>
      </c>
      <c r="B620" s="1">
        <v>45212</v>
      </c>
      <c r="C620" t="s">
        <v>1012</v>
      </c>
      <c r="D620" t="s">
        <v>1018</v>
      </c>
      <c r="E620" t="s">
        <v>1025</v>
      </c>
      <c r="F620" t="s">
        <v>1034</v>
      </c>
      <c r="G620">
        <v>5</v>
      </c>
      <c r="H620">
        <v>48579</v>
      </c>
      <c r="I620">
        <v>20</v>
      </c>
      <c r="J620" t="s">
        <v>1035</v>
      </c>
      <c r="K620">
        <v>194316</v>
      </c>
    </row>
    <row r="621" spans="1:11" x14ac:dyDescent="0.25">
      <c r="A621" t="s">
        <v>629</v>
      </c>
      <c r="B621" s="1">
        <v>45054</v>
      </c>
      <c r="C621" t="s">
        <v>1010</v>
      </c>
      <c r="D621" t="s">
        <v>1017</v>
      </c>
      <c r="E621" t="s">
        <v>1027</v>
      </c>
      <c r="F621" t="s">
        <v>1033</v>
      </c>
      <c r="G621">
        <v>2</v>
      </c>
      <c r="H621">
        <v>42784</v>
      </c>
      <c r="I621">
        <v>5</v>
      </c>
      <c r="J621" t="s">
        <v>1035</v>
      </c>
      <c r="K621">
        <v>81289.599999999991</v>
      </c>
    </row>
    <row r="622" spans="1:11" x14ac:dyDescent="0.25">
      <c r="A622" t="s">
        <v>630</v>
      </c>
      <c r="B622" s="1">
        <v>44989</v>
      </c>
      <c r="C622" t="s">
        <v>1012</v>
      </c>
      <c r="D622" t="s">
        <v>1015</v>
      </c>
      <c r="E622" t="s">
        <v>1025</v>
      </c>
      <c r="F622" t="s">
        <v>1032</v>
      </c>
      <c r="G622">
        <v>7</v>
      </c>
      <c r="H622">
        <v>11963</v>
      </c>
      <c r="I622">
        <v>15</v>
      </c>
      <c r="J622" t="s">
        <v>1036</v>
      </c>
      <c r="K622">
        <v>71179.849999999991</v>
      </c>
    </row>
    <row r="623" spans="1:11" x14ac:dyDescent="0.25">
      <c r="A623" t="s">
        <v>631</v>
      </c>
      <c r="B623" s="1">
        <v>45160</v>
      </c>
      <c r="C623" t="s">
        <v>1012</v>
      </c>
      <c r="D623" t="s">
        <v>1016</v>
      </c>
      <c r="E623" t="s">
        <v>1025</v>
      </c>
      <c r="F623" t="s">
        <v>1032</v>
      </c>
      <c r="G623">
        <v>9</v>
      </c>
      <c r="H623">
        <v>14818</v>
      </c>
      <c r="I623">
        <v>10</v>
      </c>
      <c r="J623" t="s">
        <v>1035</v>
      </c>
      <c r="K623">
        <v>120025.8</v>
      </c>
    </row>
    <row r="624" spans="1:11" x14ac:dyDescent="0.25">
      <c r="A624" t="s">
        <v>632</v>
      </c>
      <c r="B624" s="1">
        <v>44995</v>
      </c>
      <c r="C624" t="s">
        <v>1012</v>
      </c>
      <c r="D624" t="s">
        <v>1014</v>
      </c>
      <c r="E624" t="s">
        <v>1024</v>
      </c>
      <c r="F624" t="s">
        <v>1032</v>
      </c>
      <c r="G624">
        <v>7</v>
      </c>
      <c r="H624">
        <v>38863</v>
      </c>
      <c r="I624">
        <v>10</v>
      </c>
      <c r="J624" t="s">
        <v>1039</v>
      </c>
      <c r="K624">
        <v>244836.9</v>
      </c>
    </row>
    <row r="625" spans="1:11" x14ac:dyDescent="0.25">
      <c r="A625" t="s">
        <v>633</v>
      </c>
      <c r="B625" s="1">
        <v>45164</v>
      </c>
      <c r="C625" t="s">
        <v>1012</v>
      </c>
      <c r="D625" t="s">
        <v>1017</v>
      </c>
      <c r="E625" t="s">
        <v>1024</v>
      </c>
      <c r="F625" t="s">
        <v>1032</v>
      </c>
      <c r="G625">
        <v>3</v>
      </c>
      <c r="H625">
        <v>49127</v>
      </c>
      <c r="I625">
        <v>20</v>
      </c>
      <c r="J625" t="s">
        <v>1039</v>
      </c>
      <c r="K625">
        <v>117904.8</v>
      </c>
    </row>
    <row r="626" spans="1:11" x14ac:dyDescent="0.25">
      <c r="A626" t="s">
        <v>634</v>
      </c>
      <c r="B626" s="1">
        <v>45268</v>
      </c>
      <c r="C626" t="s">
        <v>1010</v>
      </c>
      <c r="D626" t="s">
        <v>1020</v>
      </c>
      <c r="E626" t="s">
        <v>1023</v>
      </c>
      <c r="F626" t="s">
        <v>1033</v>
      </c>
      <c r="G626">
        <v>3</v>
      </c>
      <c r="H626">
        <v>23614</v>
      </c>
      <c r="I626">
        <v>0</v>
      </c>
      <c r="J626" t="s">
        <v>1037</v>
      </c>
      <c r="K626">
        <v>70842</v>
      </c>
    </row>
    <row r="627" spans="1:11" x14ac:dyDescent="0.25">
      <c r="A627" t="s">
        <v>635</v>
      </c>
      <c r="B627" s="1">
        <v>45198</v>
      </c>
      <c r="C627" t="s">
        <v>1011</v>
      </c>
      <c r="D627" t="s">
        <v>1019</v>
      </c>
      <c r="E627" t="s">
        <v>1031</v>
      </c>
      <c r="F627" t="s">
        <v>1034</v>
      </c>
      <c r="G627">
        <v>8</v>
      </c>
      <c r="H627">
        <v>4560</v>
      </c>
      <c r="I627">
        <v>0</v>
      </c>
      <c r="J627" t="s">
        <v>1038</v>
      </c>
      <c r="K627">
        <v>36480</v>
      </c>
    </row>
    <row r="628" spans="1:11" x14ac:dyDescent="0.25">
      <c r="A628" t="s">
        <v>636</v>
      </c>
      <c r="B628" s="1">
        <v>45213</v>
      </c>
      <c r="C628" t="s">
        <v>1010</v>
      </c>
      <c r="D628" t="s">
        <v>1018</v>
      </c>
      <c r="E628" t="s">
        <v>1025</v>
      </c>
      <c r="F628" t="s">
        <v>1034</v>
      </c>
      <c r="G628">
        <v>9</v>
      </c>
      <c r="H628">
        <v>43091</v>
      </c>
      <c r="I628">
        <v>10</v>
      </c>
      <c r="J628" t="s">
        <v>1038</v>
      </c>
      <c r="K628">
        <v>349037.1</v>
      </c>
    </row>
    <row r="629" spans="1:11" x14ac:dyDescent="0.25">
      <c r="A629" t="s">
        <v>637</v>
      </c>
      <c r="B629" s="1">
        <v>45231</v>
      </c>
      <c r="C629" t="s">
        <v>1013</v>
      </c>
      <c r="D629" t="s">
        <v>1020</v>
      </c>
      <c r="E629" t="s">
        <v>1022</v>
      </c>
      <c r="F629" t="s">
        <v>1032</v>
      </c>
      <c r="G629">
        <v>4</v>
      </c>
      <c r="H629">
        <v>18327</v>
      </c>
      <c r="I629">
        <v>15</v>
      </c>
      <c r="J629" t="s">
        <v>1037</v>
      </c>
      <c r="K629">
        <v>62311.8</v>
      </c>
    </row>
    <row r="630" spans="1:11" x14ac:dyDescent="0.25">
      <c r="A630" t="s">
        <v>638</v>
      </c>
      <c r="B630" s="1">
        <v>45089</v>
      </c>
      <c r="C630" t="s">
        <v>1012</v>
      </c>
      <c r="D630" t="s">
        <v>1020</v>
      </c>
      <c r="E630" t="s">
        <v>1031</v>
      </c>
      <c r="F630" t="s">
        <v>1034</v>
      </c>
      <c r="G630">
        <v>8</v>
      </c>
      <c r="H630">
        <v>8601</v>
      </c>
      <c r="I630">
        <v>0</v>
      </c>
      <c r="J630" t="s">
        <v>1039</v>
      </c>
      <c r="K630">
        <v>68808</v>
      </c>
    </row>
    <row r="631" spans="1:11" x14ac:dyDescent="0.25">
      <c r="A631" t="s">
        <v>639</v>
      </c>
      <c r="B631" s="1">
        <v>45153</v>
      </c>
      <c r="C631" t="s">
        <v>1010</v>
      </c>
      <c r="D631" t="s">
        <v>1015</v>
      </c>
      <c r="E631" t="s">
        <v>1025</v>
      </c>
      <c r="F631" t="s">
        <v>1032</v>
      </c>
      <c r="G631">
        <v>7</v>
      </c>
      <c r="H631">
        <v>4442</v>
      </c>
      <c r="I631">
        <v>15</v>
      </c>
      <c r="J631" t="s">
        <v>1039</v>
      </c>
      <c r="K631">
        <v>26429.9</v>
      </c>
    </row>
    <row r="632" spans="1:11" x14ac:dyDescent="0.25">
      <c r="A632" t="s">
        <v>640</v>
      </c>
      <c r="B632" s="1">
        <v>45240</v>
      </c>
      <c r="C632" t="s">
        <v>1013</v>
      </c>
      <c r="D632" t="s">
        <v>1016</v>
      </c>
      <c r="E632" t="s">
        <v>1028</v>
      </c>
      <c r="F632" t="s">
        <v>1033</v>
      </c>
      <c r="G632">
        <v>10</v>
      </c>
      <c r="H632">
        <v>11983</v>
      </c>
      <c r="I632">
        <v>10</v>
      </c>
      <c r="J632" t="s">
        <v>1039</v>
      </c>
      <c r="K632">
        <v>107847</v>
      </c>
    </row>
    <row r="633" spans="1:11" x14ac:dyDescent="0.25">
      <c r="A633" t="s">
        <v>641</v>
      </c>
      <c r="B633" s="1">
        <v>45185</v>
      </c>
      <c r="C633" t="s">
        <v>1010</v>
      </c>
      <c r="D633" t="s">
        <v>1019</v>
      </c>
      <c r="E633" t="s">
        <v>1027</v>
      </c>
      <c r="F633" t="s">
        <v>1033</v>
      </c>
      <c r="G633">
        <v>4</v>
      </c>
      <c r="H633">
        <v>31409</v>
      </c>
      <c r="I633">
        <v>15</v>
      </c>
      <c r="J633" t="s">
        <v>1038</v>
      </c>
      <c r="K633">
        <v>106790.6</v>
      </c>
    </row>
    <row r="634" spans="1:11" x14ac:dyDescent="0.25">
      <c r="A634" t="s">
        <v>642</v>
      </c>
      <c r="B634" s="1">
        <v>45145</v>
      </c>
      <c r="C634" t="s">
        <v>1012</v>
      </c>
      <c r="D634" t="s">
        <v>1016</v>
      </c>
      <c r="E634" t="s">
        <v>1024</v>
      </c>
      <c r="F634" t="s">
        <v>1034</v>
      </c>
      <c r="G634">
        <v>9</v>
      </c>
      <c r="H634">
        <v>27132</v>
      </c>
      <c r="I634">
        <v>20</v>
      </c>
      <c r="J634" t="s">
        <v>1035</v>
      </c>
      <c r="K634">
        <v>195350.39999999999</v>
      </c>
    </row>
    <row r="635" spans="1:11" x14ac:dyDescent="0.25">
      <c r="A635" t="s">
        <v>643</v>
      </c>
      <c r="B635" s="1">
        <v>45207</v>
      </c>
      <c r="C635" t="s">
        <v>1012</v>
      </c>
      <c r="D635" t="s">
        <v>1017</v>
      </c>
      <c r="E635" t="s">
        <v>1027</v>
      </c>
      <c r="F635" t="s">
        <v>1032</v>
      </c>
      <c r="G635">
        <v>10</v>
      </c>
      <c r="H635">
        <v>32210</v>
      </c>
      <c r="I635">
        <v>10</v>
      </c>
      <c r="J635" t="s">
        <v>1038</v>
      </c>
      <c r="K635">
        <v>289890</v>
      </c>
    </row>
    <row r="636" spans="1:11" x14ac:dyDescent="0.25">
      <c r="A636" t="s">
        <v>644</v>
      </c>
      <c r="B636" s="1">
        <v>45155</v>
      </c>
      <c r="C636" t="s">
        <v>1013</v>
      </c>
      <c r="D636" t="s">
        <v>1021</v>
      </c>
      <c r="E636" t="s">
        <v>1026</v>
      </c>
      <c r="F636" t="s">
        <v>1033</v>
      </c>
      <c r="G636">
        <v>9</v>
      </c>
      <c r="H636">
        <v>20750</v>
      </c>
      <c r="I636">
        <v>15</v>
      </c>
      <c r="J636" t="s">
        <v>1037</v>
      </c>
      <c r="K636">
        <v>158737.5</v>
      </c>
    </row>
    <row r="637" spans="1:11" x14ac:dyDescent="0.25">
      <c r="A637" t="s">
        <v>645</v>
      </c>
      <c r="B637" s="1">
        <v>45008</v>
      </c>
      <c r="C637" t="s">
        <v>1010</v>
      </c>
      <c r="D637" t="s">
        <v>1017</v>
      </c>
      <c r="E637" t="s">
        <v>1029</v>
      </c>
      <c r="F637" t="s">
        <v>1034</v>
      </c>
      <c r="G637">
        <v>4</v>
      </c>
      <c r="H637">
        <v>32212</v>
      </c>
      <c r="I637">
        <v>5</v>
      </c>
      <c r="J637" t="s">
        <v>1035</v>
      </c>
      <c r="K637">
        <v>122405.6</v>
      </c>
    </row>
    <row r="638" spans="1:11" x14ac:dyDescent="0.25">
      <c r="A638" t="s">
        <v>646</v>
      </c>
      <c r="B638" s="1">
        <v>45170</v>
      </c>
      <c r="C638" t="s">
        <v>1012</v>
      </c>
      <c r="D638" t="s">
        <v>1016</v>
      </c>
      <c r="E638" t="s">
        <v>1028</v>
      </c>
      <c r="F638" t="s">
        <v>1033</v>
      </c>
      <c r="G638">
        <v>4</v>
      </c>
      <c r="H638">
        <v>49899</v>
      </c>
      <c r="I638">
        <v>20</v>
      </c>
      <c r="J638" t="s">
        <v>1036</v>
      </c>
      <c r="K638">
        <v>159676.79999999999</v>
      </c>
    </row>
    <row r="639" spans="1:11" x14ac:dyDescent="0.25">
      <c r="A639" t="s">
        <v>647</v>
      </c>
      <c r="B639" s="1">
        <v>45157</v>
      </c>
      <c r="C639" t="s">
        <v>1013</v>
      </c>
      <c r="D639" t="s">
        <v>1017</v>
      </c>
      <c r="E639" t="s">
        <v>1023</v>
      </c>
      <c r="F639" t="s">
        <v>1033</v>
      </c>
      <c r="G639">
        <v>2</v>
      </c>
      <c r="H639">
        <v>35899</v>
      </c>
      <c r="I639">
        <v>15</v>
      </c>
      <c r="J639" t="s">
        <v>1036</v>
      </c>
      <c r="K639">
        <v>61028.3</v>
      </c>
    </row>
    <row r="640" spans="1:11" x14ac:dyDescent="0.25">
      <c r="A640" t="s">
        <v>648</v>
      </c>
      <c r="B640" s="1">
        <v>45059</v>
      </c>
      <c r="C640" t="s">
        <v>1010</v>
      </c>
      <c r="D640" t="s">
        <v>1020</v>
      </c>
      <c r="E640" t="s">
        <v>1028</v>
      </c>
      <c r="F640" t="s">
        <v>1032</v>
      </c>
      <c r="G640">
        <v>5</v>
      </c>
      <c r="H640">
        <v>16313</v>
      </c>
      <c r="I640">
        <v>10</v>
      </c>
      <c r="J640" t="s">
        <v>1039</v>
      </c>
      <c r="K640">
        <v>73408.5</v>
      </c>
    </row>
    <row r="641" spans="1:11" x14ac:dyDescent="0.25">
      <c r="A641" t="s">
        <v>649</v>
      </c>
      <c r="B641" s="1">
        <v>45053</v>
      </c>
      <c r="C641" t="s">
        <v>1010</v>
      </c>
      <c r="D641" t="s">
        <v>1017</v>
      </c>
      <c r="E641" t="s">
        <v>1027</v>
      </c>
      <c r="F641" t="s">
        <v>1034</v>
      </c>
      <c r="G641">
        <v>7</v>
      </c>
      <c r="H641">
        <v>25890</v>
      </c>
      <c r="I641">
        <v>15</v>
      </c>
      <c r="J641" t="s">
        <v>1035</v>
      </c>
      <c r="K641">
        <v>154045.5</v>
      </c>
    </row>
    <row r="642" spans="1:11" x14ac:dyDescent="0.25">
      <c r="A642" t="s">
        <v>650</v>
      </c>
      <c r="B642" s="1">
        <v>45253</v>
      </c>
      <c r="C642" t="s">
        <v>1013</v>
      </c>
      <c r="D642" t="s">
        <v>1017</v>
      </c>
      <c r="E642" t="s">
        <v>1027</v>
      </c>
      <c r="F642" t="s">
        <v>1032</v>
      </c>
      <c r="G642">
        <v>6</v>
      </c>
      <c r="H642">
        <v>45794</v>
      </c>
      <c r="I642">
        <v>5</v>
      </c>
      <c r="J642" t="s">
        <v>1038</v>
      </c>
      <c r="K642">
        <v>261025.8</v>
      </c>
    </row>
    <row r="643" spans="1:11" x14ac:dyDescent="0.25">
      <c r="A643" t="s">
        <v>651</v>
      </c>
      <c r="B643" s="1">
        <v>45068</v>
      </c>
      <c r="C643" t="s">
        <v>1010</v>
      </c>
      <c r="D643" t="s">
        <v>1016</v>
      </c>
      <c r="E643" t="s">
        <v>1025</v>
      </c>
      <c r="F643" t="s">
        <v>1034</v>
      </c>
      <c r="G643">
        <v>10</v>
      </c>
      <c r="H643">
        <v>47242</v>
      </c>
      <c r="I643">
        <v>0</v>
      </c>
      <c r="J643" t="s">
        <v>1037</v>
      </c>
      <c r="K643">
        <v>472420</v>
      </c>
    </row>
    <row r="644" spans="1:11" x14ac:dyDescent="0.25">
      <c r="A644" t="s">
        <v>652</v>
      </c>
      <c r="B644" s="1">
        <v>45193</v>
      </c>
      <c r="C644" t="s">
        <v>1010</v>
      </c>
      <c r="D644" t="s">
        <v>1020</v>
      </c>
      <c r="E644" t="s">
        <v>1025</v>
      </c>
      <c r="F644" t="s">
        <v>1033</v>
      </c>
      <c r="G644">
        <v>2</v>
      </c>
      <c r="H644">
        <v>26563</v>
      </c>
      <c r="I644">
        <v>15</v>
      </c>
      <c r="J644" t="s">
        <v>1039</v>
      </c>
      <c r="K644">
        <v>45157.1</v>
      </c>
    </row>
    <row r="645" spans="1:11" x14ac:dyDescent="0.25">
      <c r="A645" t="s">
        <v>653</v>
      </c>
      <c r="B645" s="1">
        <v>45175</v>
      </c>
      <c r="C645" t="s">
        <v>1012</v>
      </c>
      <c r="D645" t="s">
        <v>1019</v>
      </c>
      <c r="E645" t="s">
        <v>1026</v>
      </c>
      <c r="F645" t="s">
        <v>1032</v>
      </c>
      <c r="G645">
        <v>2</v>
      </c>
      <c r="H645">
        <v>32102</v>
      </c>
      <c r="I645">
        <v>10</v>
      </c>
      <c r="J645" t="s">
        <v>1039</v>
      </c>
      <c r="K645">
        <v>57783.6</v>
      </c>
    </row>
    <row r="646" spans="1:11" x14ac:dyDescent="0.25">
      <c r="A646" t="s">
        <v>654</v>
      </c>
      <c r="B646" s="1">
        <v>45247</v>
      </c>
      <c r="C646" t="s">
        <v>1012</v>
      </c>
      <c r="D646" t="s">
        <v>1014</v>
      </c>
      <c r="E646" t="s">
        <v>1031</v>
      </c>
      <c r="F646" t="s">
        <v>1032</v>
      </c>
      <c r="G646">
        <v>7</v>
      </c>
      <c r="H646">
        <v>18211</v>
      </c>
      <c r="I646">
        <v>5</v>
      </c>
      <c r="J646" t="s">
        <v>1035</v>
      </c>
      <c r="K646">
        <v>121103.15</v>
      </c>
    </row>
    <row r="647" spans="1:11" x14ac:dyDescent="0.25">
      <c r="A647" t="s">
        <v>655</v>
      </c>
      <c r="B647" s="1">
        <v>45049</v>
      </c>
      <c r="C647" t="s">
        <v>1012</v>
      </c>
      <c r="D647" t="s">
        <v>1020</v>
      </c>
      <c r="E647" t="s">
        <v>1026</v>
      </c>
      <c r="F647" t="s">
        <v>1032</v>
      </c>
      <c r="G647">
        <v>7</v>
      </c>
      <c r="H647">
        <v>10512</v>
      </c>
      <c r="I647">
        <v>0</v>
      </c>
      <c r="J647" t="s">
        <v>1037</v>
      </c>
      <c r="K647">
        <v>73584</v>
      </c>
    </row>
    <row r="648" spans="1:11" x14ac:dyDescent="0.25">
      <c r="A648" t="s">
        <v>656</v>
      </c>
      <c r="B648" s="1">
        <v>45067</v>
      </c>
      <c r="C648" t="s">
        <v>1013</v>
      </c>
      <c r="D648" t="s">
        <v>1014</v>
      </c>
      <c r="E648" t="s">
        <v>1023</v>
      </c>
      <c r="F648" t="s">
        <v>1032</v>
      </c>
      <c r="G648">
        <v>6</v>
      </c>
      <c r="H648">
        <v>35763</v>
      </c>
      <c r="I648">
        <v>15</v>
      </c>
      <c r="J648" t="s">
        <v>1036</v>
      </c>
      <c r="K648">
        <v>182391.3</v>
      </c>
    </row>
    <row r="649" spans="1:11" x14ac:dyDescent="0.25">
      <c r="A649" t="s">
        <v>657</v>
      </c>
      <c r="B649" s="1">
        <v>45152</v>
      </c>
      <c r="C649" t="s">
        <v>1011</v>
      </c>
      <c r="D649" t="s">
        <v>1016</v>
      </c>
      <c r="E649" t="s">
        <v>1025</v>
      </c>
      <c r="F649" t="s">
        <v>1034</v>
      </c>
      <c r="G649">
        <v>6</v>
      </c>
      <c r="H649">
        <v>29490</v>
      </c>
      <c r="I649">
        <v>0</v>
      </c>
      <c r="J649" t="s">
        <v>1039</v>
      </c>
      <c r="K649">
        <v>176940</v>
      </c>
    </row>
    <row r="650" spans="1:11" x14ac:dyDescent="0.25">
      <c r="A650" t="s">
        <v>658</v>
      </c>
      <c r="B650" s="1">
        <v>44966</v>
      </c>
      <c r="C650" t="s">
        <v>1010</v>
      </c>
      <c r="D650" t="s">
        <v>1020</v>
      </c>
      <c r="E650" t="s">
        <v>1023</v>
      </c>
      <c r="F650" t="s">
        <v>1034</v>
      </c>
      <c r="G650">
        <v>4</v>
      </c>
      <c r="H650">
        <v>1777</v>
      </c>
      <c r="I650">
        <v>15</v>
      </c>
      <c r="J650" t="s">
        <v>1039</v>
      </c>
      <c r="K650">
        <v>6041.8</v>
      </c>
    </row>
    <row r="651" spans="1:11" x14ac:dyDescent="0.25">
      <c r="A651" t="s">
        <v>659</v>
      </c>
      <c r="B651" s="1">
        <v>45292</v>
      </c>
      <c r="C651" t="s">
        <v>1013</v>
      </c>
      <c r="D651" t="s">
        <v>1015</v>
      </c>
      <c r="E651" t="s">
        <v>1025</v>
      </c>
      <c r="F651" t="s">
        <v>1032</v>
      </c>
      <c r="G651">
        <v>6</v>
      </c>
      <c r="H651">
        <v>19926</v>
      </c>
      <c r="I651">
        <v>15</v>
      </c>
      <c r="J651" t="s">
        <v>1035</v>
      </c>
      <c r="K651">
        <v>101622.6</v>
      </c>
    </row>
    <row r="652" spans="1:11" x14ac:dyDescent="0.25">
      <c r="A652" t="s">
        <v>660</v>
      </c>
      <c r="B652" s="1">
        <v>45073</v>
      </c>
      <c r="C652" t="s">
        <v>1011</v>
      </c>
      <c r="D652" t="s">
        <v>1021</v>
      </c>
      <c r="E652" t="s">
        <v>1025</v>
      </c>
      <c r="F652" t="s">
        <v>1032</v>
      </c>
      <c r="G652">
        <v>6</v>
      </c>
      <c r="H652">
        <v>30413</v>
      </c>
      <c r="I652">
        <v>20</v>
      </c>
      <c r="J652" t="s">
        <v>1039</v>
      </c>
      <c r="K652">
        <v>145982.39999999999</v>
      </c>
    </row>
    <row r="653" spans="1:11" x14ac:dyDescent="0.25">
      <c r="A653" t="s">
        <v>661</v>
      </c>
      <c r="B653" s="1">
        <v>45047</v>
      </c>
      <c r="C653" t="s">
        <v>1011</v>
      </c>
      <c r="D653" t="s">
        <v>1015</v>
      </c>
      <c r="E653" t="s">
        <v>1025</v>
      </c>
      <c r="F653" t="s">
        <v>1034</v>
      </c>
      <c r="G653">
        <v>10</v>
      </c>
      <c r="H653">
        <v>26035</v>
      </c>
      <c r="I653">
        <v>0</v>
      </c>
      <c r="J653" t="s">
        <v>1035</v>
      </c>
      <c r="K653">
        <v>260350</v>
      </c>
    </row>
    <row r="654" spans="1:11" x14ac:dyDescent="0.25">
      <c r="A654" t="s">
        <v>662</v>
      </c>
      <c r="B654" s="1">
        <v>45066</v>
      </c>
      <c r="C654" t="s">
        <v>1013</v>
      </c>
      <c r="D654" t="s">
        <v>1015</v>
      </c>
      <c r="E654" t="s">
        <v>1022</v>
      </c>
      <c r="F654" t="s">
        <v>1034</v>
      </c>
      <c r="G654">
        <v>1</v>
      </c>
      <c r="H654">
        <v>45465</v>
      </c>
      <c r="I654">
        <v>0</v>
      </c>
      <c r="J654" t="s">
        <v>1037</v>
      </c>
      <c r="K654">
        <v>45465</v>
      </c>
    </row>
    <row r="655" spans="1:11" x14ac:dyDescent="0.25">
      <c r="A655" t="s">
        <v>663</v>
      </c>
      <c r="B655" s="1">
        <v>45098</v>
      </c>
      <c r="C655" t="s">
        <v>1011</v>
      </c>
      <c r="D655" t="s">
        <v>1016</v>
      </c>
      <c r="E655" t="s">
        <v>1030</v>
      </c>
      <c r="F655" t="s">
        <v>1032</v>
      </c>
      <c r="G655">
        <v>5</v>
      </c>
      <c r="H655">
        <v>21688</v>
      </c>
      <c r="I655">
        <v>5</v>
      </c>
      <c r="J655" t="s">
        <v>1036</v>
      </c>
      <c r="K655">
        <v>103018</v>
      </c>
    </row>
    <row r="656" spans="1:11" x14ac:dyDescent="0.25">
      <c r="A656" t="s">
        <v>664</v>
      </c>
      <c r="B656" s="1">
        <v>45090</v>
      </c>
      <c r="C656" t="s">
        <v>1012</v>
      </c>
      <c r="D656" t="s">
        <v>1018</v>
      </c>
      <c r="E656" t="s">
        <v>1028</v>
      </c>
      <c r="F656" t="s">
        <v>1034</v>
      </c>
      <c r="G656">
        <v>3</v>
      </c>
      <c r="H656">
        <v>35750</v>
      </c>
      <c r="I656">
        <v>15</v>
      </c>
      <c r="J656" t="s">
        <v>1036</v>
      </c>
      <c r="K656">
        <v>91162.5</v>
      </c>
    </row>
    <row r="657" spans="1:11" x14ac:dyDescent="0.25">
      <c r="A657" t="s">
        <v>665</v>
      </c>
      <c r="B657" s="1">
        <v>45203</v>
      </c>
      <c r="C657" t="s">
        <v>1013</v>
      </c>
      <c r="D657" t="s">
        <v>1017</v>
      </c>
      <c r="E657" t="s">
        <v>1022</v>
      </c>
      <c r="F657" t="s">
        <v>1032</v>
      </c>
      <c r="G657">
        <v>6</v>
      </c>
      <c r="H657">
        <v>45752</v>
      </c>
      <c r="I657">
        <v>15</v>
      </c>
      <c r="J657" t="s">
        <v>1039</v>
      </c>
      <c r="K657">
        <v>233335.2</v>
      </c>
    </row>
    <row r="658" spans="1:11" x14ac:dyDescent="0.25">
      <c r="A658" t="s">
        <v>666</v>
      </c>
      <c r="B658" s="1">
        <v>44968</v>
      </c>
      <c r="C658" t="s">
        <v>1010</v>
      </c>
      <c r="D658" t="s">
        <v>1021</v>
      </c>
      <c r="E658" t="s">
        <v>1029</v>
      </c>
      <c r="F658" t="s">
        <v>1032</v>
      </c>
      <c r="G658">
        <v>10</v>
      </c>
      <c r="H658">
        <v>3688</v>
      </c>
      <c r="I658">
        <v>20</v>
      </c>
      <c r="J658" t="s">
        <v>1039</v>
      </c>
      <c r="K658">
        <v>29504</v>
      </c>
    </row>
    <row r="659" spans="1:11" x14ac:dyDescent="0.25">
      <c r="A659" t="s">
        <v>667</v>
      </c>
      <c r="B659" s="1">
        <v>44997</v>
      </c>
      <c r="C659" t="s">
        <v>1012</v>
      </c>
      <c r="D659" t="s">
        <v>1018</v>
      </c>
      <c r="E659" t="s">
        <v>1027</v>
      </c>
      <c r="F659" t="s">
        <v>1032</v>
      </c>
      <c r="G659">
        <v>8</v>
      </c>
      <c r="H659">
        <v>7380</v>
      </c>
      <c r="I659">
        <v>0</v>
      </c>
      <c r="J659" t="s">
        <v>1035</v>
      </c>
      <c r="K659">
        <v>59040</v>
      </c>
    </row>
    <row r="660" spans="1:11" x14ac:dyDescent="0.25">
      <c r="A660" t="s">
        <v>668</v>
      </c>
      <c r="B660" s="1">
        <v>45004</v>
      </c>
      <c r="C660" t="s">
        <v>1010</v>
      </c>
      <c r="D660" t="s">
        <v>1015</v>
      </c>
      <c r="E660" t="s">
        <v>1024</v>
      </c>
      <c r="F660" t="s">
        <v>1033</v>
      </c>
      <c r="G660">
        <v>10</v>
      </c>
      <c r="H660">
        <v>35818</v>
      </c>
      <c r="I660">
        <v>5</v>
      </c>
      <c r="J660" t="s">
        <v>1037</v>
      </c>
      <c r="K660">
        <v>340271</v>
      </c>
    </row>
    <row r="661" spans="1:11" x14ac:dyDescent="0.25">
      <c r="A661" t="s">
        <v>669</v>
      </c>
      <c r="B661" s="1">
        <v>45045</v>
      </c>
      <c r="C661" t="s">
        <v>1011</v>
      </c>
      <c r="D661" t="s">
        <v>1015</v>
      </c>
      <c r="E661" t="s">
        <v>1023</v>
      </c>
      <c r="F661" t="s">
        <v>1032</v>
      </c>
      <c r="G661">
        <v>3</v>
      </c>
      <c r="H661">
        <v>42774</v>
      </c>
      <c r="I661">
        <v>0</v>
      </c>
      <c r="J661" t="s">
        <v>1035</v>
      </c>
      <c r="K661">
        <v>128322</v>
      </c>
    </row>
    <row r="662" spans="1:11" x14ac:dyDescent="0.25">
      <c r="A662" t="s">
        <v>670</v>
      </c>
      <c r="B662" s="1">
        <v>45123</v>
      </c>
      <c r="C662" t="s">
        <v>1012</v>
      </c>
      <c r="D662" t="s">
        <v>1018</v>
      </c>
      <c r="E662" t="s">
        <v>1030</v>
      </c>
      <c r="F662" t="s">
        <v>1034</v>
      </c>
      <c r="G662">
        <v>8</v>
      </c>
      <c r="H662">
        <v>24188</v>
      </c>
      <c r="I662">
        <v>10</v>
      </c>
      <c r="J662" t="s">
        <v>1038</v>
      </c>
      <c r="K662">
        <v>174153.60000000001</v>
      </c>
    </row>
    <row r="663" spans="1:11" x14ac:dyDescent="0.25">
      <c r="A663" t="s">
        <v>671</v>
      </c>
      <c r="B663" s="1">
        <v>45282</v>
      </c>
      <c r="C663" t="s">
        <v>1010</v>
      </c>
      <c r="D663" t="s">
        <v>1018</v>
      </c>
      <c r="E663" t="s">
        <v>1029</v>
      </c>
      <c r="F663" t="s">
        <v>1033</v>
      </c>
      <c r="G663">
        <v>1</v>
      </c>
      <c r="H663">
        <v>29297</v>
      </c>
      <c r="I663">
        <v>5</v>
      </c>
      <c r="J663" t="s">
        <v>1039</v>
      </c>
      <c r="K663">
        <v>27832.15</v>
      </c>
    </row>
    <row r="664" spans="1:11" x14ac:dyDescent="0.25">
      <c r="A664" t="s">
        <v>672</v>
      </c>
      <c r="B664" s="1">
        <v>45005</v>
      </c>
      <c r="C664" t="s">
        <v>1013</v>
      </c>
      <c r="D664" t="s">
        <v>1014</v>
      </c>
      <c r="E664" t="s">
        <v>1031</v>
      </c>
      <c r="F664" t="s">
        <v>1034</v>
      </c>
      <c r="G664">
        <v>4</v>
      </c>
      <c r="H664">
        <v>41008</v>
      </c>
      <c r="I664">
        <v>10</v>
      </c>
      <c r="J664" t="s">
        <v>1036</v>
      </c>
      <c r="K664">
        <v>147628.79999999999</v>
      </c>
    </row>
    <row r="665" spans="1:11" x14ac:dyDescent="0.25">
      <c r="A665" t="s">
        <v>673</v>
      </c>
      <c r="B665" s="1">
        <v>45288</v>
      </c>
      <c r="C665" t="s">
        <v>1011</v>
      </c>
      <c r="D665" t="s">
        <v>1021</v>
      </c>
      <c r="E665" t="s">
        <v>1025</v>
      </c>
      <c r="F665" t="s">
        <v>1034</v>
      </c>
      <c r="G665">
        <v>4</v>
      </c>
      <c r="H665">
        <v>43733</v>
      </c>
      <c r="I665">
        <v>5</v>
      </c>
      <c r="J665" t="s">
        <v>1036</v>
      </c>
      <c r="K665">
        <v>166185.4</v>
      </c>
    </row>
    <row r="666" spans="1:11" x14ac:dyDescent="0.25">
      <c r="A666" t="s">
        <v>674</v>
      </c>
      <c r="B666" s="1">
        <v>45036</v>
      </c>
      <c r="C666" t="s">
        <v>1010</v>
      </c>
      <c r="D666" t="s">
        <v>1017</v>
      </c>
      <c r="E666" t="s">
        <v>1025</v>
      </c>
      <c r="F666" t="s">
        <v>1034</v>
      </c>
      <c r="G666">
        <v>6</v>
      </c>
      <c r="H666">
        <v>18864</v>
      </c>
      <c r="I666">
        <v>20</v>
      </c>
      <c r="J666" t="s">
        <v>1035</v>
      </c>
      <c r="K666">
        <v>90547.200000000012</v>
      </c>
    </row>
    <row r="667" spans="1:11" x14ac:dyDescent="0.25">
      <c r="A667" t="s">
        <v>675</v>
      </c>
      <c r="B667" s="1">
        <v>44959</v>
      </c>
      <c r="C667" t="s">
        <v>1011</v>
      </c>
      <c r="D667" t="s">
        <v>1018</v>
      </c>
      <c r="E667" t="s">
        <v>1024</v>
      </c>
      <c r="F667" t="s">
        <v>1032</v>
      </c>
      <c r="G667">
        <v>3</v>
      </c>
      <c r="H667">
        <v>22952</v>
      </c>
      <c r="I667">
        <v>15</v>
      </c>
      <c r="J667" t="s">
        <v>1035</v>
      </c>
      <c r="K667">
        <v>58527.6</v>
      </c>
    </row>
    <row r="668" spans="1:11" x14ac:dyDescent="0.25">
      <c r="A668" t="s">
        <v>676</v>
      </c>
      <c r="B668" s="1">
        <v>45139</v>
      </c>
      <c r="C668" t="s">
        <v>1010</v>
      </c>
      <c r="D668" t="s">
        <v>1018</v>
      </c>
      <c r="E668" t="s">
        <v>1024</v>
      </c>
      <c r="F668" t="s">
        <v>1034</v>
      </c>
      <c r="G668">
        <v>2</v>
      </c>
      <c r="H668">
        <v>18716</v>
      </c>
      <c r="I668">
        <v>0</v>
      </c>
      <c r="J668" t="s">
        <v>1039</v>
      </c>
      <c r="K668">
        <v>37432</v>
      </c>
    </row>
    <row r="669" spans="1:11" x14ac:dyDescent="0.25">
      <c r="A669" t="s">
        <v>677</v>
      </c>
      <c r="B669" s="1">
        <v>45135</v>
      </c>
      <c r="C669" t="s">
        <v>1013</v>
      </c>
      <c r="D669" t="s">
        <v>1014</v>
      </c>
      <c r="E669" t="s">
        <v>1024</v>
      </c>
      <c r="F669" t="s">
        <v>1034</v>
      </c>
      <c r="G669">
        <v>2</v>
      </c>
      <c r="H669">
        <v>18503</v>
      </c>
      <c r="I669">
        <v>5</v>
      </c>
      <c r="J669" t="s">
        <v>1035</v>
      </c>
      <c r="K669">
        <v>35155.699999999997</v>
      </c>
    </row>
    <row r="670" spans="1:11" x14ac:dyDescent="0.25">
      <c r="A670" t="s">
        <v>678</v>
      </c>
      <c r="B670" s="1">
        <v>45096</v>
      </c>
      <c r="C670" t="s">
        <v>1012</v>
      </c>
      <c r="D670" t="s">
        <v>1021</v>
      </c>
      <c r="E670" t="s">
        <v>1029</v>
      </c>
      <c r="F670" t="s">
        <v>1034</v>
      </c>
      <c r="G670">
        <v>1</v>
      </c>
      <c r="H670">
        <v>7440</v>
      </c>
      <c r="I670">
        <v>15</v>
      </c>
      <c r="J670" t="s">
        <v>1036</v>
      </c>
      <c r="K670">
        <v>6324</v>
      </c>
    </row>
    <row r="671" spans="1:11" x14ac:dyDescent="0.25">
      <c r="A671" t="s">
        <v>679</v>
      </c>
      <c r="B671" s="1">
        <v>45204</v>
      </c>
      <c r="C671" t="s">
        <v>1010</v>
      </c>
      <c r="D671" t="s">
        <v>1021</v>
      </c>
      <c r="E671" t="s">
        <v>1027</v>
      </c>
      <c r="F671" t="s">
        <v>1033</v>
      </c>
      <c r="G671">
        <v>4</v>
      </c>
      <c r="H671">
        <v>17734</v>
      </c>
      <c r="I671">
        <v>15</v>
      </c>
      <c r="J671" t="s">
        <v>1036</v>
      </c>
      <c r="K671">
        <v>60295.6</v>
      </c>
    </row>
    <row r="672" spans="1:11" x14ac:dyDescent="0.25">
      <c r="A672" t="s">
        <v>680</v>
      </c>
      <c r="B672" s="1">
        <v>45165</v>
      </c>
      <c r="C672" t="s">
        <v>1011</v>
      </c>
      <c r="D672" t="s">
        <v>1019</v>
      </c>
      <c r="E672" t="s">
        <v>1027</v>
      </c>
      <c r="F672" t="s">
        <v>1032</v>
      </c>
      <c r="G672">
        <v>10</v>
      </c>
      <c r="H672">
        <v>43883</v>
      </c>
      <c r="I672">
        <v>10</v>
      </c>
      <c r="J672" t="s">
        <v>1036</v>
      </c>
      <c r="K672">
        <v>394947</v>
      </c>
    </row>
    <row r="673" spans="1:11" x14ac:dyDescent="0.25">
      <c r="A673" t="s">
        <v>681</v>
      </c>
      <c r="B673" s="1">
        <v>45139</v>
      </c>
      <c r="C673" t="s">
        <v>1013</v>
      </c>
      <c r="D673" t="s">
        <v>1020</v>
      </c>
      <c r="E673" t="s">
        <v>1022</v>
      </c>
      <c r="F673" t="s">
        <v>1032</v>
      </c>
      <c r="G673">
        <v>3</v>
      </c>
      <c r="H673">
        <v>39284</v>
      </c>
      <c r="I673">
        <v>20</v>
      </c>
      <c r="J673" t="s">
        <v>1038</v>
      </c>
      <c r="K673">
        <v>94281.600000000006</v>
      </c>
    </row>
    <row r="674" spans="1:11" x14ac:dyDescent="0.25">
      <c r="A674" t="s">
        <v>682</v>
      </c>
      <c r="B674" s="1">
        <v>44958</v>
      </c>
      <c r="C674" t="s">
        <v>1012</v>
      </c>
      <c r="D674" t="s">
        <v>1020</v>
      </c>
      <c r="E674" t="s">
        <v>1023</v>
      </c>
      <c r="F674" t="s">
        <v>1033</v>
      </c>
      <c r="G674">
        <v>5</v>
      </c>
      <c r="H674">
        <v>26634</v>
      </c>
      <c r="I674">
        <v>20</v>
      </c>
      <c r="J674" t="s">
        <v>1035</v>
      </c>
      <c r="K674">
        <v>106536</v>
      </c>
    </row>
    <row r="675" spans="1:11" x14ac:dyDescent="0.25">
      <c r="A675" t="s">
        <v>683</v>
      </c>
      <c r="B675" s="1">
        <v>45032</v>
      </c>
      <c r="C675" t="s">
        <v>1011</v>
      </c>
      <c r="D675" t="s">
        <v>1015</v>
      </c>
      <c r="E675" t="s">
        <v>1022</v>
      </c>
      <c r="F675" t="s">
        <v>1034</v>
      </c>
      <c r="G675">
        <v>1</v>
      </c>
      <c r="H675">
        <v>31219</v>
      </c>
      <c r="I675">
        <v>10</v>
      </c>
      <c r="J675" t="s">
        <v>1039</v>
      </c>
      <c r="K675">
        <v>28097.1</v>
      </c>
    </row>
    <row r="676" spans="1:11" x14ac:dyDescent="0.25">
      <c r="A676" t="s">
        <v>684</v>
      </c>
      <c r="B676" s="1">
        <v>45142</v>
      </c>
      <c r="C676" t="s">
        <v>1013</v>
      </c>
      <c r="D676" t="s">
        <v>1016</v>
      </c>
      <c r="E676" t="s">
        <v>1028</v>
      </c>
      <c r="F676" t="s">
        <v>1033</v>
      </c>
      <c r="G676">
        <v>6</v>
      </c>
      <c r="H676">
        <v>45255</v>
      </c>
      <c r="I676">
        <v>15</v>
      </c>
      <c r="J676" t="s">
        <v>1036</v>
      </c>
      <c r="K676">
        <v>230800.5</v>
      </c>
    </row>
    <row r="677" spans="1:11" x14ac:dyDescent="0.25">
      <c r="A677" t="s">
        <v>685</v>
      </c>
      <c r="B677" s="1">
        <v>45126</v>
      </c>
      <c r="C677" t="s">
        <v>1011</v>
      </c>
      <c r="D677" t="s">
        <v>1016</v>
      </c>
      <c r="E677" t="s">
        <v>1031</v>
      </c>
      <c r="F677" t="s">
        <v>1033</v>
      </c>
      <c r="G677">
        <v>2</v>
      </c>
      <c r="H677">
        <v>16846</v>
      </c>
      <c r="I677">
        <v>10</v>
      </c>
      <c r="J677" t="s">
        <v>1038</v>
      </c>
      <c r="K677">
        <v>30322.799999999999</v>
      </c>
    </row>
    <row r="678" spans="1:11" x14ac:dyDescent="0.25">
      <c r="A678" t="s">
        <v>686</v>
      </c>
      <c r="B678" s="1">
        <v>45226</v>
      </c>
      <c r="C678" t="s">
        <v>1013</v>
      </c>
      <c r="D678" t="s">
        <v>1021</v>
      </c>
      <c r="E678" t="s">
        <v>1023</v>
      </c>
      <c r="F678" t="s">
        <v>1032</v>
      </c>
      <c r="G678">
        <v>5</v>
      </c>
      <c r="H678">
        <v>49123</v>
      </c>
      <c r="I678">
        <v>15</v>
      </c>
      <c r="J678" t="s">
        <v>1035</v>
      </c>
      <c r="K678">
        <v>208772.75</v>
      </c>
    </row>
    <row r="679" spans="1:11" x14ac:dyDescent="0.25">
      <c r="A679" t="s">
        <v>687</v>
      </c>
      <c r="B679" s="1">
        <v>45283</v>
      </c>
      <c r="C679" t="s">
        <v>1012</v>
      </c>
      <c r="D679" t="s">
        <v>1017</v>
      </c>
      <c r="E679" t="s">
        <v>1028</v>
      </c>
      <c r="F679" t="s">
        <v>1032</v>
      </c>
      <c r="G679">
        <v>8</v>
      </c>
      <c r="H679">
        <v>45032</v>
      </c>
      <c r="I679">
        <v>20</v>
      </c>
      <c r="J679" t="s">
        <v>1037</v>
      </c>
      <c r="K679">
        <v>288204.79999999999</v>
      </c>
    </row>
    <row r="680" spans="1:11" x14ac:dyDescent="0.25">
      <c r="A680" t="s">
        <v>688</v>
      </c>
      <c r="B680" s="1">
        <v>44937</v>
      </c>
      <c r="C680" t="s">
        <v>1012</v>
      </c>
      <c r="D680" t="s">
        <v>1020</v>
      </c>
      <c r="E680" t="s">
        <v>1025</v>
      </c>
      <c r="F680" t="s">
        <v>1033</v>
      </c>
      <c r="G680">
        <v>8</v>
      </c>
      <c r="H680">
        <v>39582</v>
      </c>
      <c r="I680">
        <v>15</v>
      </c>
      <c r="J680" t="s">
        <v>1039</v>
      </c>
      <c r="K680">
        <v>269157.59999999998</v>
      </c>
    </row>
    <row r="681" spans="1:11" x14ac:dyDescent="0.25">
      <c r="A681" t="s">
        <v>689</v>
      </c>
      <c r="B681" s="1">
        <v>45221</v>
      </c>
      <c r="C681" t="s">
        <v>1011</v>
      </c>
      <c r="D681" t="s">
        <v>1019</v>
      </c>
      <c r="E681" t="s">
        <v>1030</v>
      </c>
      <c r="F681" t="s">
        <v>1034</v>
      </c>
      <c r="G681">
        <v>1</v>
      </c>
      <c r="H681">
        <v>13774</v>
      </c>
      <c r="I681">
        <v>15</v>
      </c>
      <c r="J681" t="s">
        <v>1039</v>
      </c>
      <c r="K681">
        <v>11707.9</v>
      </c>
    </row>
    <row r="682" spans="1:11" x14ac:dyDescent="0.25">
      <c r="A682" t="s">
        <v>690</v>
      </c>
      <c r="B682" s="1">
        <v>45121</v>
      </c>
      <c r="C682" t="s">
        <v>1013</v>
      </c>
      <c r="D682" t="s">
        <v>1017</v>
      </c>
      <c r="E682" t="s">
        <v>1028</v>
      </c>
      <c r="F682" t="s">
        <v>1032</v>
      </c>
      <c r="G682">
        <v>6</v>
      </c>
      <c r="H682">
        <v>35075</v>
      </c>
      <c r="I682">
        <v>20</v>
      </c>
      <c r="J682" t="s">
        <v>1039</v>
      </c>
      <c r="K682">
        <v>168360</v>
      </c>
    </row>
    <row r="683" spans="1:11" x14ac:dyDescent="0.25">
      <c r="A683" t="s">
        <v>691</v>
      </c>
      <c r="B683" s="1">
        <v>45171</v>
      </c>
      <c r="C683" t="s">
        <v>1010</v>
      </c>
      <c r="D683" t="s">
        <v>1016</v>
      </c>
      <c r="E683" t="s">
        <v>1030</v>
      </c>
      <c r="F683" t="s">
        <v>1034</v>
      </c>
      <c r="G683">
        <v>4</v>
      </c>
      <c r="H683">
        <v>23112</v>
      </c>
      <c r="I683">
        <v>10</v>
      </c>
      <c r="J683" t="s">
        <v>1039</v>
      </c>
      <c r="K683">
        <v>83203.199999999997</v>
      </c>
    </row>
    <row r="684" spans="1:11" x14ac:dyDescent="0.25">
      <c r="A684" t="s">
        <v>692</v>
      </c>
      <c r="B684" s="1">
        <v>44930</v>
      </c>
      <c r="C684" t="s">
        <v>1012</v>
      </c>
      <c r="D684" t="s">
        <v>1018</v>
      </c>
      <c r="E684" t="s">
        <v>1025</v>
      </c>
      <c r="F684" t="s">
        <v>1032</v>
      </c>
      <c r="G684">
        <v>9</v>
      </c>
      <c r="H684">
        <v>45414</v>
      </c>
      <c r="I684">
        <v>5</v>
      </c>
      <c r="J684" t="s">
        <v>1037</v>
      </c>
      <c r="K684">
        <v>388289.7</v>
      </c>
    </row>
    <row r="685" spans="1:11" x14ac:dyDescent="0.25">
      <c r="A685" t="s">
        <v>693</v>
      </c>
      <c r="B685" s="1">
        <v>45107</v>
      </c>
      <c r="C685" t="s">
        <v>1010</v>
      </c>
      <c r="D685" t="s">
        <v>1018</v>
      </c>
      <c r="E685" t="s">
        <v>1026</v>
      </c>
      <c r="F685" t="s">
        <v>1034</v>
      </c>
      <c r="G685">
        <v>4</v>
      </c>
      <c r="H685">
        <v>46238</v>
      </c>
      <c r="I685">
        <v>15</v>
      </c>
      <c r="J685" t="s">
        <v>1035</v>
      </c>
      <c r="K685">
        <v>157209.20000000001</v>
      </c>
    </row>
    <row r="686" spans="1:11" x14ac:dyDescent="0.25">
      <c r="A686" t="s">
        <v>694</v>
      </c>
      <c r="B686" s="1">
        <v>45079</v>
      </c>
      <c r="C686" t="s">
        <v>1010</v>
      </c>
      <c r="D686" t="s">
        <v>1020</v>
      </c>
      <c r="E686" t="s">
        <v>1031</v>
      </c>
      <c r="F686" t="s">
        <v>1034</v>
      </c>
      <c r="G686">
        <v>4</v>
      </c>
      <c r="H686">
        <v>12791</v>
      </c>
      <c r="I686">
        <v>0</v>
      </c>
      <c r="J686" t="s">
        <v>1035</v>
      </c>
      <c r="K686">
        <v>51164</v>
      </c>
    </row>
    <row r="687" spans="1:11" x14ac:dyDescent="0.25">
      <c r="A687" t="s">
        <v>695</v>
      </c>
      <c r="B687" s="1">
        <v>45126</v>
      </c>
      <c r="C687" t="s">
        <v>1011</v>
      </c>
      <c r="D687" t="s">
        <v>1016</v>
      </c>
      <c r="E687" t="s">
        <v>1030</v>
      </c>
      <c r="F687" t="s">
        <v>1034</v>
      </c>
      <c r="G687">
        <v>9</v>
      </c>
      <c r="H687">
        <v>21530</v>
      </c>
      <c r="I687">
        <v>0</v>
      </c>
      <c r="J687" t="s">
        <v>1035</v>
      </c>
      <c r="K687">
        <v>193770</v>
      </c>
    </row>
    <row r="688" spans="1:11" x14ac:dyDescent="0.25">
      <c r="A688" t="s">
        <v>696</v>
      </c>
      <c r="B688" s="1">
        <v>45141</v>
      </c>
      <c r="C688" t="s">
        <v>1011</v>
      </c>
      <c r="D688" t="s">
        <v>1016</v>
      </c>
      <c r="E688" t="s">
        <v>1025</v>
      </c>
      <c r="F688" t="s">
        <v>1033</v>
      </c>
      <c r="G688">
        <v>9</v>
      </c>
      <c r="H688">
        <v>36888</v>
      </c>
      <c r="I688">
        <v>10</v>
      </c>
      <c r="J688" t="s">
        <v>1039</v>
      </c>
      <c r="K688">
        <v>298792.8</v>
      </c>
    </row>
    <row r="689" spans="1:11" x14ac:dyDescent="0.25">
      <c r="A689" t="s">
        <v>697</v>
      </c>
      <c r="B689" s="1">
        <v>45202</v>
      </c>
      <c r="C689" t="s">
        <v>1011</v>
      </c>
      <c r="D689" t="s">
        <v>1017</v>
      </c>
      <c r="E689" t="s">
        <v>1028</v>
      </c>
      <c r="F689" t="s">
        <v>1032</v>
      </c>
      <c r="G689">
        <v>5</v>
      </c>
      <c r="H689">
        <v>1693</v>
      </c>
      <c r="I689">
        <v>15</v>
      </c>
      <c r="J689" t="s">
        <v>1037</v>
      </c>
      <c r="K689">
        <v>7195.25</v>
      </c>
    </row>
    <row r="690" spans="1:11" x14ac:dyDescent="0.25">
      <c r="A690" t="s">
        <v>698</v>
      </c>
      <c r="B690" s="1">
        <v>45206</v>
      </c>
      <c r="C690" t="s">
        <v>1013</v>
      </c>
      <c r="D690" t="s">
        <v>1015</v>
      </c>
      <c r="E690" t="s">
        <v>1030</v>
      </c>
      <c r="F690" t="s">
        <v>1034</v>
      </c>
      <c r="G690">
        <v>9</v>
      </c>
      <c r="H690">
        <v>45092</v>
      </c>
      <c r="I690">
        <v>15</v>
      </c>
      <c r="J690" t="s">
        <v>1038</v>
      </c>
      <c r="K690">
        <v>344953.8</v>
      </c>
    </row>
    <row r="691" spans="1:11" x14ac:dyDescent="0.25">
      <c r="A691" t="s">
        <v>699</v>
      </c>
      <c r="B691" s="1">
        <v>45235</v>
      </c>
      <c r="C691" t="s">
        <v>1012</v>
      </c>
      <c r="D691" t="s">
        <v>1019</v>
      </c>
      <c r="E691" t="s">
        <v>1023</v>
      </c>
      <c r="F691" t="s">
        <v>1034</v>
      </c>
      <c r="G691">
        <v>8</v>
      </c>
      <c r="H691">
        <v>1555</v>
      </c>
      <c r="I691">
        <v>5</v>
      </c>
      <c r="J691" t="s">
        <v>1039</v>
      </c>
      <c r="K691">
        <v>11818</v>
      </c>
    </row>
    <row r="692" spans="1:11" x14ac:dyDescent="0.25">
      <c r="A692" t="s">
        <v>700</v>
      </c>
      <c r="B692" s="1">
        <v>45039</v>
      </c>
      <c r="C692" t="s">
        <v>1012</v>
      </c>
      <c r="D692" t="s">
        <v>1020</v>
      </c>
      <c r="E692" t="s">
        <v>1026</v>
      </c>
      <c r="F692" t="s">
        <v>1033</v>
      </c>
      <c r="G692">
        <v>10</v>
      </c>
      <c r="H692">
        <v>5453</v>
      </c>
      <c r="I692">
        <v>5</v>
      </c>
      <c r="J692" t="s">
        <v>1037</v>
      </c>
      <c r="K692">
        <v>51803.5</v>
      </c>
    </row>
    <row r="693" spans="1:11" x14ac:dyDescent="0.25">
      <c r="A693" t="s">
        <v>701</v>
      </c>
      <c r="B693" s="1">
        <v>45176</v>
      </c>
      <c r="C693" t="s">
        <v>1010</v>
      </c>
      <c r="D693" t="s">
        <v>1015</v>
      </c>
      <c r="E693" t="s">
        <v>1022</v>
      </c>
      <c r="F693" t="s">
        <v>1033</v>
      </c>
      <c r="G693">
        <v>3</v>
      </c>
      <c r="H693">
        <v>1783</v>
      </c>
      <c r="I693">
        <v>0</v>
      </c>
      <c r="J693" t="s">
        <v>1036</v>
      </c>
      <c r="K693">
        <v>5349</v>
      </c>
    </row>
    <row r="694" spans="1:11" x14ac:dyDescent="0.25">
      <c r="A694" t="s">
        <v>702</v>
      </c>
      <c r="B694" s="1">
        <v>45039</v>
      </c>
      <c r="C694" t="s">
        <v>1011</v>
      </c>
      <c r="D694" t="s">
        <v>1016</v>
      </c>
      <c r="E694" t="s">
        <v>1023</v>
      </c>
      <c r="F694" t="s">
        <v>1034</v>
      </c>
      <c r="G694">
        <v>1</v>
      </c>
      <c r="H694">
        <v>27951</v>
      </c>
      <c r="I694">
        <v>0</v>
      </c>
      <c r="J694" t="s">
        <v>1035</v>
      </c>
      <c r="K694">
        <v>27951</v>
      </c>
    </row>
    <row r="695" spans="1:11" x14ac:dyDescent="0.25">
      <c r="A695" t="s">
        <v>703</v>
      </c>
      <c r="B695" s="1">
        <v>45066</v>
      </c>
      <c r="C695" t="s">
        <v>1013</v>
      </c>
      <c r="D695" t="s">
        <v>1020</v>
      </c>
      <c r="E695" t="s">
        <v>1022</v>
      </c>
      <c r="F695" t="s">
        <v>1034</v>
      </c>
      <c r="G695">
        <v>7</v>
      </c>
      <c r="H695">
        <v>7402</v>
      </c>
      <c r="I695">
        <v>0</v>
      </c>
      <c r="J695" t="s">
        <v>1039</v>
      </c>
      <c r="K695">
        <v>51814</v>
      </c>
    </row>
    <row r="696" spans="1:11" x14ac:dyDescent="0.25">
      <c r="A696" t="s">
        <v>704</v>
      </c>
      <c r="B696" s="1">
        <v>45150</v>
      </c>
      <c r="C696" t="s">
        <v>1012</v>
      </c>
      <c r="D696" t="s">
        <v>1021</v>
      </c>
      <c r="E696" t="s">
        <v>1025</v>
      </c>
      <c r="F696" t="s">
        <v>1032</v>
      </c>
      <c r="G696">
        <v>10</v>
      </c>
      <c r="H696">
        <v>35423</v>
      </c>
      <c r="I696">
        <v>0</v>
      </c>
      <c r="J696" t="s">
        <v>1039</v>
      </c>
      <c r="K696">
        <v>354230</v>
      </c>
    </row>
    <row r="697" spans="1:11" x14ac:dyDescent="0.25">
      <c r="A697" t="s">
        <v>705</v>
      </c>
      <c r="B697" s="1">
        <v>45175</v>
      </c>
      <c r="C697" t="s">
        <v>1013</v>
      </c>
      <c r="D697" t="s">
        <v>1019</v>
      </c>
      <c r="E697" t="s">
        <v>1024</v>
      </c>
      <c r="F697" t="s">
        <v>1032</v>
      </c>
      <c r="G697">
        <v>9</v>
      </c>
      <c r="H697">
        <v>7809</v>
      </c>
      <c r="I697">
        <v>15</v>
      </c>
      <c r="J697" t="s">
        <v>1037</v>
      </c>
      <c r="K697">
        <v>59738.85</v>
      </c>
    </row>
    <row r="698" spans="1:11" x14ac:dyDescent="0.25">
      <c r="A698" t="s">
        <v>706</v>
      </c>
      <c r="B698" s="1">
        <v>44941</v>
      </c>
      <c r="C698" t="s">
        <v>1011</v>
      </c>
      <c r="D698" t="s">
        <v>1020</v>
      </c>
      <c r="E698" t="s">
        <v>1023</v>
      </c>
      <c r="F698" t="s">
        <v>1033</v>
      </c>
      <c r="G698">
        <v>1</v>
      </c>
      <c r="H698">
        <v>45924</v>
      </c>
      <c r="I698">
        <v>0</v>
      </c>
      <c r="J698" t="s">
        <v>1035</v>
      </c>
      <c r="K698">
        <v>45924</v>
      </c>
    </row>
    <row r="699" spans="1:11" x14ac:dyDescent="0.25">
      <c r="A699" t="s">
        <v>707</v>
      </c>
      <c r="B699" s="1">
        <v>45126</v>
      </c>
      <c r="C699" t="s">
        <v>1011</v>
      </c>
      <c r="D699" t="s">
        <v>1015</v>
      </c>
      <c r="E699" t="s">
        <v>1023</v>
      </c>
      <c r="F699" t="s">
        <v>1033</v>
      </c>
      <c r="G699">
        <v>5</v>
      </c>
      <c r="H699">
        <v>30225</v>
      </c>
      <c r="I699">
        <v>5</v>
      </c>
      <c r="J699" t="s">
        <v>1038</v>
      </c>
      <c r="K699">
        <v>143568.75</v>
      </c>
    </row>
    <row r="700" spans="1:11" x14ac:dyDescent="0.25">
      <c r="A700" t="s">
        <v>708</v>
      </c>
      <c r="B700" s="1">
        <v>45099</v>
      </c>
      <c r="C700" t="s">
        <v>1012</v>
      </c>
      <c r="D700" t="s">
        <v>1016</v>
      </c>
      <c r="E700" t="s">
        <v>1025</v>
      </c>
      <c r="F700" t="s">
        <v>1032</v>
      </c>
      <c r="G700">
        <v>3</v>
      </c>
      <c r="H700">
        <v>24036</v>
      </c>
      <c r="I700">
        <v>15</v>
      </c>
      <c r="J700" t="s">
        <v>1036</v>
      </c>
      <c r="K700">
        <v>61291.8</v>
      </c>
    </row>
    <row r="701" spans="1:11" x14ac:dyDescent="0.25">
      <c r="A701" t="s">
        <v>709</v>
      </c>
      <c r="B701" s="1">
        <v>45269</v>
      </c>
      <c r="C701" t="s">
        <v>1010</v>
      </c>
      <c r="D701" t="s">
        <v>1015</v>
      </c>
      <c r="E701" t="s">
        <v>1027</v>
      </c>
      <c r="F701" t="s">
        <v>1032</v>
      </c>
      <c r="G701">
        <v>1</v>
      </c>
      <c r="H701">
        <v>15379</v>
      </c>
      <c r="I701">
        <v>20</v>
      </c>
      <c r="J701" t="s">
        <v>1037</v>
      </c>
      <c r="K701">
        <v>12303.2</v>
      </c>
    </row>
    <row r="702" spans="1:11" x14ac:dyDescent="0.25">
      <c r="A702" t="s">
        <v>710</v>
      </c>
      <c r="B702" s="1">
        <v>45274</v>
      </c>
      <c r="C702" t="s">
        <v>1010</v>
      </c>
      <c r="D702" t="s">
        <v>1018</v>
      </c>
      <c r="E702" t="s">
        <v>1025</v>
      </c>
      <c r="F702" t="s">
        <v>1032</v>
      </c>
      <c r="G702">
        <v>5</v>
      </c>
      <c r="H702">
        <v>48530</v>
      </c>
      <c r="I702">
        <v>10</v>
      </c>
      <c r="J702" t="s">
        <v>1038</v>
      </c>
      <c r="K702">
        <v>218385</v>
      </c>
    </row>
    <row r="703" spans="1:11" x14ac:dyDescent="0.25">
      <c r="A703" t="s">
        <v>711</v>
      </c>
      <c r="B703" s="1">
        <v>45134</v>
      </c>
      <c r="C703" t="s">
        <v>1011</v>
      </c>
      <c r="D703" t="s">
        <v>1018</v>
      </c>
      <c r="E703" t="s">
        <v>1031</v>
      </c>
      <c r="F703" t="s">
        <v>1032</v>
      </c>
      <c r="G703">
        <v>4</v>
      </c>
      <c r="H703">
        <v>19566</v>
      </c>
      <c r="I703">
        <v>5</v>
      </c>
      <c r="J703" t="s">
        <v>1038</v>
      </c>
      <c r="K703">
        <v>74350.8</v>
      </c>
    </row>
    <row r="704" spans="1:11" x14ac:dyDescent="0.25">
      <c r="A704" t="s">
        <v>712</v>
      </c>
      <c r="B704" s="1">
        <v>45011</v>
      </c>
      <c r="C704" t="s">
        <v>1011</v>
      </c>
      <c r="D704" t="s">
        <v>1015</v>
      </c>
      <c r="E704" t="s">
        <v>1026</v>
      </c>
      <c r="F704" t="s">
        <v>1034</v>
      </c>
      <c r="G704">
        <v>10</v>
      </c>
      <c r="H704">
        <v>17508</v>
      </c>
      <c r="I704">
        <v>10</v>
      </c>
      <c r="J704" t="s">
        <v>1036</v>
      </c>
      <c r="K704">
        <v>157572</v>
      </c>
    </row>
    <row r="705" spans="1:11" x14ac:dyDescent="0.25">
      <c r="A705" t="s">
        <v>713</v>
      </c>
      <c r="B705" s="1">
        <v>45166</v>
      </c>
      <c r="C705" t="s">
        <v>1010</v>
      </c>
      <c r="D705" t="s">
        <v>1018</v>
      </c>
      <c r="E705" t="s">
        <v>1031</v>
      </c>
      <c r="F705" t="s">
        <v>1034</v>
      </c>
      <c r="G705">
        <v>5</v>
      </c>
      <c r="H705">
        <v>13653</v>
      </c>
      <c r="I705">
        <v>20</v>
      </c>
      <c r="J705" t="s">
        <v>1036</v>
      </c>
      <c r="K705">
        <v>54612</v>
      </c>
    </row>
    <row r="706" spans="1:11" x14ac:dyDescent="0.25">
      <c r="A706" t="s">
        <v>714</v>
      </c>
      <c r="B706" s="1">
        <v>44992</v>
      </c>
      <c r="C706" t="s">
        <v>1011</v>
      </c>
      <c r="D706" t="s">
        <v>1018</v>
      </c>
      <c r="E706" t="s">
        <v>1029</v>
      </c>
      <c r="F706" t="s">
        <v>1034</v>
      </c>
      <c r="G706">
        <v>1</v>
      </c>
      <c r="H706">
        <v>3230</v>
      </c>
      <c r="I706">
        <v>20</v>
      </c>
      <c r="J706" t="s">
        <v>1036</v>
      </c>
      <c r="K706">
        <v>2584</v>
      </c>
    </row>
    <row r="707" spans="1:11" x14ac:dyDescent="0.25">
      <c r="A707" t="s">
        <v>715</v>
      </c>
      <c r="B707" s="1">
        <v>45245</v>
      </c>
      <c r="C707" t="s">
        <v>1012</v>
      </c>
      <c r="D707" t="s">
        <v>1015</v>
      </c>
      <c r="E707" t="s">
        <v>1027</v>
      </c>
      <c r="F707" t="s">
        <v>1033</v>
      </c>
      <c r="G707">
        <v>8</v>
      </c>
      <c r="H707">
        <v>2553</v>
      </c>
      <c r="I707">
        <v>0</v>
      </c>
      <c r="J707" t="s">
        <v>1038</v>
      </c>
      <c r="K707">
        <v>20424</v>
      </c>
    </row>
    <row r="708" spans="1:11" x14ac:dyDescent="0.25">
      <c r="A708" t="s">
        <v>716</v>
      </c>
      <c r="B708" s="1">
        <v>45200</v>
      </c>
      <c r="C708" t="s">
        <v>1012</v>
      </c>
      <c r="D708" t="s">
        <v>1017</v>
      </c>
      <c r="E708" t="s">
        <v>1027</v>
      </c>
      <c r="F708" t="s">
        <v>1032</v>
      </c>
      <c r="G708">
        <v>1</v>
      </c>
      <c r="H708">
        <v>41592</v>
      </c>
      <c r="I708">
        <v>0</v>
      </c>
      <c r="J708" t="s">
        <v>1037</v>
      </c>
      <c r="K708">
        <v>41592</v>
      </c>
    </row>
    <row r="709" spans="1:11" x14ac:dyDescent="0.25">
      <c r="A709" t="s">
        <v>717</v>
      </c>
      <c r="B709" s="1">
        <v>44940</v>
      </c>
      <c r="C709" t="s">
        <v>1013</v>
      </c>
      <c r="D709" t="s">
        <v>1015</v>
      </c>
      <c r="E709" t="s">
        <v>1027</v>
      </c>
      <c r="F709" t="s">
        <v>1034</v>
      </c>
      <c r="G709">
        <v>2</v>
      </c>
      <c r="H709">
        <v>7025</v>
      </c>
      <c r="I709">
        <v>20</v>
      </c>
      <c r="J709" t="s">
        <v>1038</v>
      </c>
      <c r="K709">
        <v>11240</v>
      </c>
    </row>
    <row r="710" spans="1:11" x14ac:dyDescent="0.25">
      <c r="A710" t="s">
        <v>718</v>
      </c>
      <c r="B710" s="1">
        <v>45128</v>
      </c>
      <c r="C710" t="s">
        <v>1010</v>
      </c>
      <c r="D710" t="s">
        <v>1015</v>
      </c>
      <c r="E710" t="s">
        <v>1026</v>
      </c>
      <c r="F710" t="s">
        <v>1032</v>
      </c>
      <c r="G710">
        <v>7</v>
      </c>
      <c r="H710">
        <v>4727</v>
      </c>
      <c r="I710">
        <v>15</v>
      </c>
      <c r="J710" t="s">
        <v>1037</v>
      </c>
      <c r="K710">
        <v>28125.65</v>
      </c>
    </row>
    <row r="711" spans="1:11" x14ac:dyDescent="0.25">
      <c r="A711" t="s">
        <v>719</v>
      </c>
      <c r="B711" s="1">
        <v>45230</v>
      </c>
      <c r="C711" t="s">
        <v>1011</v>
      </c>
      <c r="D711" t="s">
        <v>1017</v>
      </c>
      <c r="E711" t="s">
        <v>1031</v>
      </c>
      <c r="F711" t="s">
        <v>1032</v>
      </c>
      <c r="G711">
        <v>5</v>
      </c>
      <c r="H711">
        <v>39937</v>
      </c>
      <c r="I711">
        <v>15</v>
      </c>
      <c r="J711" t="s">
        <v>1038</v>
      </c>
      <c r="K711">
        <v>169732.25</v>
      </c>
    </row>
    <row r="712" spans="1:11" x14ac:dyDescent="0.25">
      <c r="A712" t="s">
        <v>720</v>
      </c>
      <c r="B712" s="1">
        <v>45215</v>
      </c>
      <c r="C712" t="s">
        <v>1013</v>
      </c>
      <c r="D712" t="s">
        <v>1019</v>
      </c>
      <c r="E712" t="s">
        <v>1022</v>
      </c>
      <c r="F712" t="s">
        <v>1033</v>
      </c>
      <c r="G712">
        <v>6</v>
      </c>
      <c r="H712">
        <v>44031</v>
      </c>
      <c r="I712">
        <v>5</v>
      </c>
      <c r="J712" t="s">
        <v>1036</v>
      </c>
      <c r="K712">
        <v>250976.7</v>
      </c>
    </row>
    <row r="713" spans="1:11" x14ac:dyDescent="0.25">
      <c r="A713" t="s">
        <v>721</v>
      </c>
      <c r="B713" s="1">
        <v>45266</v>
      </c>
      <c r="C713" t="s">
        <v>1012</v>
      </c>
      <c r="D713" t="s">
        <v>1015</v>
      </c>
      <c r="E713" t="s">
        <v>1028</v>
      </c>
      <c r="F713" t="s">
        <v>1034</v>
      </c>
      <c r="G713">
        <v>2</v>
      </c>
      <c r="H713">
        <v>15209</v>
      </c>
      <c r="I713">
        <v>10</v>
      </c>
      <c r="J713" t="s">
        <v>1035</v>
      </c>
      <c r="K713">
        <v>27376.2</v>
      </c>
    </row>
    <row r="714" spans="1:11" x14ac:dyDescent="0.25">
      <c r="A714" t="s">
        <v>722</v>
      </c>
      <c r="B714" s="1">
        <v>44940</v>
      </c>
      <c r="C714" t="s">
        <v>1010</v>
      </c>
      <c r="D714" t="s">
        <v>1015</v>
      </c>
      <c r="E714" t="s">
        <v>1026</v>
      </c>
      <c r="F714" t="s">
        <v>1034</v>
      </c>
      <c r="G714">
        <v>1</v>
      </c>
      <c r="H714">
        <v>40281</v>
      </c>
      <c r="I714">
        <v>15</v>
      </c>
      <c r="J714" t="s">
        <v>1039</v>
      </c>
      <c r="K714">
        <v>34238.85</v>
      </c>
    </row>
    <row r="715" spans="1:11" x14ac:dyDescent="0.25">
      <c r="A715" t="s">
        <v>723</v>
      </c>
      <c r="B715" s="1">
        <v>44969</v>
      </c>
      <c r="C715" t="s">
        <v>1012</v>
      </c>
      <c r="D715" t="s">
        <v>1016</v>
      </c>
      <c r="E715" t="s">
        <v>1024</v>
      </c>
      <c r="F715" t="s">
        <v>1032</v>
      </c>
      <c r="G715">
        <v>5</v>
      </c>
      <c r="H715">
        <v>42817</v>
      </c>
      <c r="I715">
        <v>15</v>
      </c>
      <c r="J715" t="s">
        <v>1038</v>
      </c>
      <c r="K715">
        <v>181972.25</v>
      </c>
    </row>
    <row r="716" spans="1:11" x14ac:dyDescent="0.25">
      <c r="A716" t="s">
        <v>724</v>
      </c>
      <c r="B716" s="1">
        <v>45256</v>
      </c>
      <c r="C716" t="s">
        <v>1011</v>
      </c>
      <c r="D716" t="s">
        <v>1017</v>
      </c>
      <c r="E716" t="s">
        <v>1028</v>
      </c>
      <c r="F716" t="s">
        <v>1034</v>
      </c>
      <c r="G716">
        <v>7</v>
      </c>
      <c r="H716">
        <v>8981</v>
      </c>
      <c r="I716">
        <v>20</v>
      </c>
      <c r="J716" t="s">
        <v>1039</v>
      </c>
      <c r="K716">
        <v>50293.600000000013</v>
      </c>
    </row>
    <row r="717" spans="1:11" x14ac:dyDescent="0.25">
      <c r="A717" t="s">
        <v>725</v>
      </c>
      <c r="B717" s="1">
        <v>45146</v>
      </c>
      <c r="C717" t="s">
        <v>1013</v>
      </c>
      <c r="D717" t="s">
        <v>1014</v>
      </c>
      <c r="E717" t="s">
        <v>1025</v>
      </c>
      <c r="F717" t="s">
        <v>1034</v>
      </c>
      <c r="G717">
        <v>4</v>
      </c>
      <c r="H717">
        <v>47404</v>
      </c>
      <c r="I717">
        <v>10</v>
      </c>
      <c r="J717" t="s">
        <v>1039</v>
      </c>
      <c r="K717">
        <v>170654.4</v>
      </c>
    </row>
    <row r="718" spans="1:11" x14ac:dyDescent="0.25">
      <c r="A718" t="s">
        <v>726</v>
      </c>
      <c r="B718" s="1">
        <v>44996</v>
      </c>
      <c r="C718" t="s">
        <v>1011</v>
      </c>
      <c r="D718" t="s">
        <v>1016</v>
      </c>
      <c r="E718" t="s">
        <v>1024</v>
      </c>
      <c r="F718" t="s">
        <v>1032</v>
      </c>
      <c r="G718">
        <v>7</v>
      </c>
      <c r="H718">
        <v>8862</v>
      </c>
      <c r="I718">
        <v>20</v>
      </c>
      <c r="J718" t="s">
        <v>1039</v>
      </c>
      <c r="K718">
        <v>49627.199999999997</v>
      </c>
    </row>
    <row r="719" spans="1:11" x14ac:dyDescent="0.25">
      <c r="A719" t="s">
        <v>727</v>
      </c>
      <c r="B719" s="1">
        <v>45163</v>
      </c>
      <c r="C719" t="s">
        <v>1011</v>
      </c>
      <c r="D719" t="s">
        <v>1014</v>
      </c>
      <c r="E719" t="s">
        <v>1029</v>
      </c>
      <c r="F719" t="s">
        <v>1032</v>
      </c>
      <c r="G719">
        <v>9</v>
      </c>
      <c r="H719">
        <v>6661</v>
      </c>
      <c r="I719">
        <v>10</v>
      </c>
      <c r="J719" t="s">
        <v>1038</v>
      </c>
      <c r="K719">
        <v>53954.1</v>
      </c>
    </row>
    <row r="720" spans="1:11" x14ac:dyDescent="0.25">
      <c r="A720" t="s">
        <v>728</v>
      </c>
      <c r="B720" s="1">
        <v>45020</v>
      </c>
      <c r="C720" t="s">
        <v>1010</v>
      </c>
      <c r="D720" t="s">
        <v>1017</v>
      </c>
      <c r="E720" t="s">
        <v>1030</v>
      </c>
      <c r="F720" t="s">
        <v>1033</v>
      </c>
      <c r="G720">
        <v>2</v>
      </c>
      <c r="H720">
        <v>40628</v>
      </c>
      <c r="I720">
        <v>20</v>
      </c>
      <c r="J720" t="s">
        <v>1035</v>
      </c>
      <c r="K720">
        <v>65004.800000000003</v>
      </c>
    </row>
    <row r="721" spans="1:11" x14ac:dyDescent="0.25">
      <c r="A721" t="s">
        <v>729</v>
      </c>
      <c r="B721" s="1">
        <v>44952</v>
      </c>
      <c r="C721" t="s">
        <v>1010</v>
      </c>
      <c r="D721" t="s">
        <v>1015</v>
      </c>
      <c r="E721" t="s">
        <v>1030</v>
      </c>
      <c r="F721" t="s">
        <v>1034</v>
      </c>
      <c r="G721">
        <v>6</v>
      </c>
      <c r="H721">
        <v>9513</v>
      </c>
      <c r="I721">
        <v>20</v>
      </c>
      <c r="J721" t="s">
        <v>1039</v>
      </c>
      <c r="K721">
        <v>45662.400000000001</v>
      </c>
    </row>
    <row r="722" spans="1:11" x14ac:dyDescent="0.25">
      <c r="A722" t="s">
        <v>730</v>
      </c>
      <c r="B722" s="1">
        <v>45060</v>
      </c>
      <c r="C722" t="s">
        <v>1011</v>
      </c>
      <c r="D722" t="s">
        <v>1021</v>
      </c>
      <c r="E722" t="s">
        <v>1022</v>
      </c>
      <c r="F722" t="s">
        <v>1032</v>
      </c>
      <c r="G722">
        <v>8</v>
      </c>
      <c r="H722">
        <v>25638</v>
      </c>
      <c r="I722">
        <v>0</v>
      </c>
      <c r="J722" t="s">
        <v>1038</v>
      </c>
      <c r="K722">
        <v>205104</v>
      </c>
    </row>
    <row r="723" spans="1:11" x14ac:dyDescent="0.25">
      <c r="A723" t="s">
        <v>731</v>
      </c>
      <c r="B723" s="1">
        <v>45121</v>
      </c>
      <c r="C723" t="s">
        <v>1010</v>
      </c>
      <c r="D723" t="s">
        <v>1018</v>
      </c>
      <c r="E723" t="s">
        <v>1023</v>
      </c>
      <c r="F723" t="s">
        <v>1034</v>
      </c>
      <c r="G723">
        <v>10</v>
      </c>
      <c r="H723">
        <v>44017</v>
      </c>
      <c r="I723">
        <v>0</v>
      </c>
      <c r="J723" t="s">
        <v>1038</v>
      </c>
      <c r="K723">
        <v>440170</v>
      </c>
    </row>
    <row r="724" spans="1:11" x14ac:dyDescent="0.25">
      <c r="A724" t="s">
        <v>732</v>
      </c>
      <c r="B724" s="1">
        <v>45094</v>
      </c>
      <c r="C724" t="s">
        <v>1013</v>
      </c>
      <c r="D724" t="s">
        <v>1017</v>
      </c>
      <c r="E724" t="s">
        <v>1024</v>
      </c>
      <c r="F724" t="s">
        <v>1034</v>
      </c>
      <c r="G724">
        <v>9</v>
      </c>
      <c r="H724">
        <v>43461</v>
      </c>
      <c r="I724">
        <v>15</v>
      </c>
      <c r="J724" t="s">
        <v>1038</v>
      </c>
      <c r="K724">
        <v>332476.65000000002</v>
      </c>
    </row>
    <row r="725" spans="1:11" x14ac:dyDescent="0.25">
      <c r="A725" t="s">
        <v>733</v>
      </c>
      <c r="B725" s="1">
        <v>45035</v>
      </c>
      <c r="C725" t="s">
        <v>1013</v>
      </c>
      <c r="D725" t="s">
        <v>1018</v>
      </c>
      <c r="E725" t="s">
        <v>1027</v>
      </c>
      <c r="F725" t="s">
        <v>1032</v>
      </c>
      <c r="G725">
        <v>2</v>
      </c>
      <c r="H725">
        <v>38097</v>
      </c>
      <c r="I725">
        <v>0</v>
      </c>
      <c r="J725" t="s">
        <v>1038</v>
      </c>
      <c r="K725">
        <v>76194</v>
      </c>
    </row>
    <row r="726" spans="1:11" x14ac:dyDescent="0.25">
      <c r="A726" t="s">
        <v>734</v>
      </c>
      <c r="B726" s="1">
        <v>45159</v>
      </c>
      <c r="C726" t="s">
        <v>1011</v>
      </c>
      <c r="D726" t="s">
        <v>1017</v>
      </c>
      <c r="E726" t="s">
        <v>1031</v>
      </c>
      <c r="F726" t="s">
        <v>1034</v>
      </c>
      <c r="G726">
        <v>3</v>
      </c>
      <c r="H726">
        <v>13108</v>
      </c>
      <c r="I726">
        <v>15</v>
      </c>
      <c r="J726" t="s">
        <v>1038</v>
      </c>
      <c r="K726">
        <v>33425.4</v>
      </c>
    </row>
    <row r="727" spans="1:11" x14ac:dyDescent="0.25">
      <c r="A727" t="s">
        <v>735</v>
      </c>
      <c r="B727" s="1">
        <v>45094</v>
      </c>
      <c r="C727" t="s">
        <v>1013</v>
      </c>
      <c r="D727" t="s">
        <v>1018</v>
      </c>
      <c r="E727" t="s">
        <v>1030</v>
      </c>
      <c r="F727" t="s">
        <v>1034</v>
      </c>
      <c r="G727">
        <v>4</v>
      </c>
      <c r="H727">
        <v>8264</v>
      </c>
      <c r="I727">
        <v>15</v>
      </c>
      <c r="J727" t="s">
        <v>1037</v>
      </c>
      <c r="K727">
        <v>28097.599999999999</v>
      </c>
    </row>
    <row r="728" spans="1:11" x14ac:dyDescent="0.25">
      <c r="A728" t="s">
        <v>736</v>
      </c>
      <c r="B728" s="1">
        <v>45099</v>
      </c>
      <c r="C728" t="s">
        <v>1011</v>
      </c>
      <c r="D728" t="s">
        <v>1017</v>
      </c>
      <c r="E728" t="s">
        <v>1023</v>
      </c>
      <c r="F728" t="s">
        <v>1033</v>
      </c>
      <c r="G728">
        <v>9</v>
      </c>
      <c r="H728">
        <v>46590</v>
      </c>
      <c r="I728">
        <v>10</v>
      </c>
      <c r="J728" t="s">
        <v>1037</v>
      </c>
      <c r="K728">
        <v>377379</v>
      </c>
    </row>
    <row r="729" spans="1:11" x14ac:dyDescent="0.25">
      <c r="A729" t="s">
        <v>737</v>
      </c>
      <c r="B729" s="1">
        <v>45121</v>
      </c>
      <c r="C729" t="s">
        <v>1013</v>
      </c>
      <c r="D729" t="s">
        <v>1017</v>
      </c>
      <c r="E729" t="s">
        <v>1030</v>
      </c>
      <c r="F729" t="s">
        <v>1034</v>
      </c>
      <c r="G729">
        <v>8</v>
      </c>
      <c r="H729">
        <v>13075</v>
      </c>
      <c r="I729">
        <v>15</v>
      </c>
      <c r="J729" t="s">
        <v>1039</v>
      </c>
      <c r="K729">
        <v>88910</v>
      </c>
    </row>
    <row r="730" spans="1:11" x14ac:dyDescent="0.25">
      <c r="A730" t="s">
        <v>738</v>
      </c>
      <c r="B730" s="1">
        <v>45069</v>
      </c>
      <c r="C730" t="s">
        <v>1012</v>
      </c>
      <c r="D730" t="s">
        <v>1015</v>
      </c>
      <c r="E730" t="s">
        <v>1026</v>
      </c>
      <c r="F730" t="s">
        <v>1033</v>
      </c>
      <c r="G730">
        <v>9</v>
      </c>
      <c r="H730">
        <v>17602</v>
      </c>
      <c r="I730">
        <v>15</v>
      </c>
      <c r="J730" t="s">
        <v>1037</v>
      </c>
      <c r="K730">
        <v>134655.29999999999</v>
      </c>
    </row>
    <row r="731" spans="1:11" x14ac:dyDescent="0.25">
      <c r="A731" t="s">
        <v>739</v>
      </c>
      <c r="B731" s="1">
        <v>45142</v>
      </c>
      <c r="C731" t="s">
        <v>1011</v>
      </c>
      <c r="D731" t="s">
        <v>1020</v>
      </c>
      <c r="E731" t="s">
        <v>1031</v>
      </c>
      <c r="F731" t="s">
        <v>1033</v>
      </c>
      <c r="G731">
        <v>1</v>
      </c>
      <c r="H731">
        <v>20304</v>
      </c>
      <c r="I731">
        <v>15</v>
      </c>
      <c r="J731" t="s">
        <v>1038</v>
      </c>
      <c r="K731">
        <v>17258.400000000001</v>
      </c>
    </row>
    <row r="732" spans="1:11" x14ac:dyDescent="0.25">
      <c r="A732" t="s">
        <v>740</v>
      </c>
      <c r="B732" s="1">
        <v>45056</v>
      </c>
      <c r="C732" t="s">
        <v>1013</v>
      </c>
      <c r="D732" t="s">
        <v>1014</v>
      </c>
      <c r="E732" t="s">
        <v>1023</v>
      </c>
      <c r="F732" t="s">
        <v>1032</v>
      </c>
      <c r="G732">
        <v>1</v>
      </c>
      <c r="H732">
        <v>31602</v>
      </c>
      <c r="I732">
        <v>0</v>
      </c>
      <c r="J732" t="s">
        <v>1038</v>
      </c>
      <c r="K732">
        <v>31602</v>
      </c>
    </row>
    <row r="733" spans="1:11" x14ac:dyDescent="0.25">
      <c r="A733" t="s">
        <v>741</v>
      </c>
      <c r="B733" s="1">
        <v>44968</v>
      </c>
      <c r="C733" t="s">
        <v>1012</v>
      </c>
      <c r="D733" t="s">
        <v>1021</v>
      </c>
      <c r="E733" t="s">
        <v>1030</v>
      </c>
      <c r="F733" t="s">
        <v>1034</v>
      </c>
      <c r="G733">
        <v>4</v>
      </c>
      <c r="H733">
        <v>44285</v>
      </c>
      <c r="I733">
        <v>0</v>
      </c>
      <c r="J733" t="s">
        <v>1037</v>
      </c>
      <c r="K733">
        <v>177140</v>
      </c>
    </row>
    <row r="734" spans="1:11" x14ac:dyDescent="0.25">
      <c r="A734" t="s">
        <v>742</v>
      </c>
      <c r="B734" s="1">
        <v>45167</v>
      </c>
      <c r="C734" t="s">
        <v>1011</v>
      </c>
      <c r="D734" t="s">
        <v>1019</v>
      </c>
      <c r="E734" t="s">
        <v>1023</v>
      </c>
      <c r="F734" t="s">
        <v>1034</v>
      </c>
      <c r="G734">
        <v>9</v>
      </c>
      <c r="H734">
        <v>5962</v>
      </c>
      <c r="I734">
        <v>5</v>
      </c>
      <c r="J734" t="s">
        <v>1039</v>
      </c>
      <c r="K734">
        <v>50975.1</v>
      </c>
    </row>
    <row r="735" spans="1:11" x14ac:dyDescent="0.25">
      <c r="A735" t="s">
        <v>743</v>
      </c>
      <c r="B735" s="1">
        <v>44936</v>
      </c>
      <c r="C735" t="s">
        <v>1013</v>
      </c>
      <c r="D735" t="s">
        <v>1014</v>
      </c>
      <c r="E735" t="s">
        <v>1029</v>
      </c>
      <c r="F735" t="s">
        <v>1033</v>
      </c>
      <c r="G735">
        <v>5</v>
      </c>
      <c r="H735">
        <v>42863</v>
      </c>
      <c r="I735">
        <v>20</v>
      </c>
      <c r="J735" t="s">
        <v>1039</v>
      </c>
      <c r="K735">
        <v>171452</v>
      </c>
    </row>
    <row r="736" spans="1:11" x14ac:dyDescent="0.25">
      <c r="A736" t="s">
        <v>744</v>
      </c>
      <c r="B736" s="1">
        <v>45203</v>
      </c>
      <c r="C736" t="s">
        <v>1013</v>
      </c>
      <c r="D736" t="s">
        <v>1019</v>
      </c>
      <c r="E736" t="s">
        <v>1029</v>
      </c>
      <c r="F736" t="s">
        <v>1032</v>
      </c>
      <c r="G736">
        <v>6</v>
      </c>
      <c r="H736">
        <v>30716</v>
      </c>
      <c r="I736">
        <v>10</v>
      </c>
      <c r="J736" t="s">
        <v>1036</v>
      </c>
      <c r="K736">
        <v>165866.4</v>
      </c>
    </row>
    <row r="737" spans="1:11" x14ac:dyDescent="0.25">
      <c r="A737" t="s">
        <v>745</v>
      </c>
      <c r="B737" s="1">
        <v>44953</v>
      </c>
      <c r="C737" t="s">
        <v>1012</v>
      </c>
      <c r="D737" t="s">
        <v>1021</v>
      </c>
      <c r="E737" t="s">
        <v>1031</v>
      </c>
      <c r="F737" t="s">
        <v>1033</v>
      </c>
      <c r="G737">
        <v>8</v>
      </c>
      <c r="H737">
        <v>19113</v>
      </c>
      <c r="I737">
        <v>5</v>
      </c>
      <c r="J737" t="s">
        <v>1037</v>
      </c>
      <c r="K737">
        <v>145258.79999999999</v>
      </c>
    </row>
    <row r="738" spans="1:11" x14ac:dyDescent="0.25">
      <c r="A738" t="s">
        <v>746</v>
      </c>
      <c r="B738" s="1">
        <v>45106</v>
      </c>
      <c r="C738" t="s">
        <v>1010</v>
      </c>
      <c r="D738" t="s">
        <v>1019</v>
      </c>
      <c r="E738" t="s">
        <v>1025</v>
      </c>
      <c r="F738" t="s">
        <v>1033</v>
      </c>
      <c r="G738">
        <v>7</v>
      </c>
      <c r="H738">
        <v>28982</v>
      </c>
      <c r="I738">
        <v>15</v>
      </c>
      <c r="J738" t="s">
        <v>1038</v>
      </c>
      <c r="K738">
        <v>172442.9</v>
      </c>
    </row>
    <row r="739" spans="1:11" x14ac:dyDescent="0.25">
      <c r="A739" t="s">
        <v>747</v>
      </c>
      <c r="B739" s="1">
        <v>45041</v>
      </c>
      <c r="C739" t="s">
        <v>1010</v>
      </c>
      <c r="D739" t="s">
        <v>1015</v>
      </c>
      <c r="E739" t="s">
        <v>1022</v>
      </c>
      <c r="F739" t="s">
        <v>1033</v>
      </c>
      <c r="G739">
        <v>3</v>
      </c>
      <c r="H739">
        <v>46365</v>
      </c>
      <c r="I739">
        <v>15</v>
      </c>
      <c r="J739" t="s">
        <v>1038</v>
      </c>
      <c r="K739">
        <v>118230.75</v>
      </c>
    </row>
    <row r="740" spans="1:11" x14ac:dyDescent="0.25">
      <c r="A740" t="s">
        <v>748</v>
      </c>
      <c r="B740" s="1">
        <v>45259</v>
      </c>
      <c r="C740" t="s">
        <v>1012</v>
      </c>
      <c r="D740" t="s">
        <v>1017</v>
      </c>
      <c r="E740" t="s">
        <v>1030</v>
      </c>
      <c r="F740" t="s">
        <v>1034</v>
      </c>
      <c r="G740">
        <v>1</v>
      </c>
      <c r="H740">
        <v>44750</v>
      </c>
      <c r="I740">
        <v>5</v>
      </c>
      <c r="J740" t="s">
        <v>1036</v>
      </c>
      <c r="K740">
        <v>42512.5</v>
      </c>
    </row>
    <row r="741" spans="1:11" x14ac:dyDescent="0.25">
      <c r="A741" t="s">
        <v>749</v>
      </c>
      <c r="B741" s="1">
        <v>44962</v>
      </c>
      <c r="C741" t="s">
        <v>1012</v>
      </c>
      <c r="D741" t="s">
        <v>1017</v>
      </c>
      <c r="E741" t="s">
        <v>1027</v>
      </c>
      <c r="F741" t="s">
        <v>1034</v>
      </c>
      <c r="G741">
        <v>6</v>
      </c>
      <c r="H741">
        <v>22194</v>
      </c>
      <c r="I741">
        <v>10</v>
      </c>
      <c r="J741" t="s">
        <v>1037</v>
      </c>
      <c r="K741">
        <v>119847.6</v>
      </c>
    </row>
    <row r="742" spans="1:11" x14ac:dyDescent="0.25">
      <c r="A742" t="s">
        <v>750</v>
      </c>
      <c r="B742" s="1">
        <v>45260</v>
      </c>
      <c r="C742" t="s">
        <v>1011</v>
      </c>
      <c r="D742" t="s">
        <v>1020</v>
      </c>
      <c r="E742" t="s">
        <v>1030</v>
      </c>
      <c r="F742" t="s">
        <v>1034</v>
      </c>
      <c r="G742">
        <v>6</v>
      </c>
      <c r="H742">
        <v>17864</v>
      </c>
      <c r="I742">
        <v>15</v>
      </c>
      <c r="J742" t="s">
        <v>1039</v>
      </c>
      <c r="K742">
        <v>91106.4</v>
      </c>
    </row>
    <row r="743" spans="1:11" x14ac:dyDescent="0.25">
      <c r="A743" t="s">
        <v>751</v>
      </c>
      <c r="B743" s="1">
        <v>44947</v>
      </c>
      <c r="C743" t="s">
        <v>1010</v>
      </c>
      <c r="D743" t="s">
        <v>1020</v>
      </c>
      <c r="E743" t="s">
        <v>1031</v>
      </c>
      <c r="F743" t="s">
        <v>1034</v>
      </c>
      <c r="G743">
        <v>6</v>
      </c>
      <c r="H743">
        <v>11614</v>
      </c>
      <c r="I743">
        <v>15</v>
      </c>
      <c r="J743" t="s">
        <v>1035</v>
      </c>
      <c r="K743">
        <v>59231.4</v>
      </c>
    </row>
    <row r="744" spans="1:11" x14ac:dyDescent="0.25">
      <c r="A744" t="s">
        <v>752</v>
      </c>
      <c r="B744" s="1">
        <v>44942</v>
      </c>
      <c r="C744" t="s">
        <v>1011</v>
      </c>
      <c r="D744" t="s">
        <v>1019</v>
      </c>
      <c r="E744" t="s">
        <v>1026</v>
      </c>
      <c r="F744" t="s">
        <v>1032</v>
      </c>
      <c r="G744">
        <v>5</v>
      </c>
      <c r="H744">
        <v>5849</v>
      </c>
      <c r="I744">
        <v>0</v>
      </c>
      <c r="J744" t="s">
        <v>1036</v>
      </c>
      <c r="K744">
        <v>29245</v>
      </c>
    </row>
    <row r="745" spans="1:11" x14ac:dyDescent="0.25">
      <c r="A745" t="s">
        <v>753</v>
      </c>
      <c r="B745" s="1">
        <v>45053</v>
      </c>
      <c r="C745" t="s">
        <v>1013</v>
      </c>
      <c r="D745" t="s">
        <v>1016</v>
      </c>
      <c r="E745" t="s">
        <v>1030</v>
      </c>
      <c r="F745" t="s">
        <v>1033</v>
      </c>
      <c r="G745">
        <v>4</v>
      </c>
      <c r="H745">
        <v>19172</v>
      </c>
      <c r="I745">
        <v>20</v>
      </c>
      <c r="J745" t="s">
        <v>1039</v>
      </c>
      <c r="K745">
        <v>61350.400000000001</v>
      </c>
    </row>
    <row r="746" spans="1:11" x14ac:dyDescent="0.25">
      <c r="A746" t="s">
        <v>754</v>
      </c>
      <c r="B746" s="1">
        <v>45029</v>
      </c>
      <c r="C746" t="s">
        <v>1012</v>
      </c>
      <c r="D746" t="s">
        <v>1014</v>
      </c>
      <c r="E746" t="s">
        <v>1027</v>
      </c>
      <c r="F746" t="s">
        <v>1032</v>
      </c>
      <c r="G746">
        <v>9</v>
      </c>
      <c r="H746">
        <v>5088</v>
      </c>
      <c r="I746">
        <v>15</v>
      </c>
      <c r="J746" t="s">
        <v>1038</v>
      </c>
      <c r="K746">
        <v>38923.199999999997</v>
      </c>
    </row>
    <row r="747" spans="1:11" x14ac:dyDescent="0.25">
      <c r="A747" t="s">
        <v>755</v>
      </c>
      <c r="B747" s="1">
        <v>44937</v>
      </c>
      <c r="C747" t="s">
        <v>1011</v>
      </c>
      <c r="D747" t="s">
        <v>1017</v>
      </c>
      <c r="E747" t="s">
        <v>1024</v>
      </c>
      <c r="F747" t="s">
        <v>1033</v>
      </c>
      <c r="G747">
        <v>5</v>
      </c>
      <c r="H747">
        <v>26087</v>
      </c>
      <c r="I747">
        <v>20</v>
      </c>
      <c r="J747" t="s">
        <v>1036</v>
      </c>
      <c r="K747">
        <v>104348</v>
      </c>
    </row>
    <row r="748" spans="1:11" x14ac:dyDescent="0.25">
      <c r="A748" t="s">
        <v>756</v>
      </c>
      <c r="B748" s="1">
        <v>45245</v>
      </c>
      <c r="C748" t="s">
        <v>1012</v>
      </c>
      <c r="D748" t="s">
        <v>1021</v>
      </c>
      <c r="E748" t="s">
        <v>1024</v>
      </c>
      <c r="F748" t="s">
        <v>1033</v>
      </c>
      <c r="G748">
        <v>1</v>
      </c>
      <c r="H748">
        <v>26466</v>
      </c>
      <c r="I748">
        <v>20</v>
      </c>
      <c r="J748" t="s">
        <v>1036</v>
      </c>
      <c r="K748">
        <v>21172.799999999999</v>
      </c>
    </row>
    <row r="749" spans="1:11" x14ac:dyDescent="0.25">
      <c r="A749" t="s">
        <v>757</v>
      </c>
      <c r="B749" s="1">
        <v>45005</v>
      </c>
      <c r="C749" t="s">
        <v>1011</v>
      </c>
      <c r="D749" t="s">
        <v>1018</v>
      </c>
      <c r="E749" t="s">
        <v>1024</v>
      </c>
      <c r="F749" t="s">
        <v>1032</v>
      </c>
      <c r="G749">
        <v>5</v>
      </c>
      <c r="H749">
        <v>22800</v>
      </c>
      <c r="I749">
        <v>20</v>
      </c>
      <c r="J749" t="s">
        <v>1035</v>
      </c>
      <c r="K749">
        <v>91200</v>
      </c>
    </row>
    <row r="750" spans="1:11" x14ac:dyDescent="0.25">
      <c r="A750" t="s">
        <v>758</v>
      </c>
      <c r="B750" s="1">
        <v>45049</v>
      </c>
      <c r="C750" t="s">
        <v>1013</v>
      </c>
      <c r="D750" t="s">
        <v>1020</v>
      </c>
      <c r="E750" t="s">
        <v>1024</v>
      </c>
      <c r="F750" t="s">
        <v>1032</v>
      </c>
      <c r="G750">
        <v>7</v>
      </c>
      <c r="H750">
        <v>4936</v>
      </c>
      <c r="I750">
        <v>15</v>
      </c>
      <c r="J750" t="s">
        <v>1039</v>
      </c>
      <c r="K750">
        <v>29369.200000000001</v>
      </c>
    </row>
    <row r="751" spans="1:11" x14ac:dyDescent="0.25">
      <c r="A751" t="s">
        <v>759</v>
      </c>
      <c r="B751" s="1">
        <v>44991</v>
      </c>
      <c r="C751" t="s">
        <v>1013</v>
      </c>
      <c r="D751" t="s">
        <v>1021</v>
      </c>
      <c r="E751" t="s">
        <v>1031</v>
      </c>
      <c r="F751" t="s">
        <v>1033</v>
      </c>
      <c r="G751">
        <v>1</v>
      </c>
      <c r="H751">
        <v>17923</v>
      </c>
      <c r="I751">
        <v>15</v>
      </c>
      <c r="J751" t="s">
        <v>1035</v>
      </c>
      <c r="K751">
        <v>15234.55</v>
      </c>
    </row>
    <row r="752" spans="1:11" x14ac:dyDescent="0.25">
      <c r="A752" t="s">
        <v>760</v>
      </c>
      <c r="B752" s="1">
        <v>45169</v>
      </c>
      <c r="C752" t="s">
        <v>1010</v>
      </c>
      <c r="D752" t="s">
        <v>1019</v>
      </c>
      <c r="E752" t="s">
        <v>1024</v>
      </c>
      <c r="F752" t="s">
        <v>1034</v>
      </c>
      <c r="G752">
        <v>9</v>
      </c>
      <c r="H752">
        <v>18345</v>
      </c>
      <c r="I752">
        <v>20</v>
      </c>
      <c r="J752" t="s">
        <v>1036</v>
      </c>
      <c r="K752">
        <v>132084</v>
      </c>
    </row>
    <row r="753" spans="1:11" x14ac:dyDescent="0.25">
      <c r="A753" t="s">
        <v>761</v>
      </c>
      <c r="B753" s="1">
        <v>45269</v>
      </c>
      <c r="C753" t="s">
        <v>1010</v>
      </c>
      <c r="D753" t="s">
        <v>1014</v>
      </c>
      <c r="E753" t="s">
        <v>1029</v>
      </c>
      <c r="F753" t="s">
        <v>1034</v>
      </c>
      <c r="G753">
        <v>5</v>
      </c>
      <c r="H753">
        <v>12660</v>
      </c>
      <c r="I753">
        <v>5</v>
      </c>
      <c r="J753" t="s">
        <v>1039</v>
      </c>
      <c r="K753">
        <v>60135</v>
      </c>
    </row>
    <row r="754" spans="1:11" x14ac:dyDescent="0.25">
      <c r="A754" t="s">
        <v>762</v>
      </c>
      <c r="B754" s="1">
        <v>44985</v>
      </c>
      <c r="C754" t="s">
        <v>1013</v>
      </c>
      <c r="D754" t="s">
        <v>1017</v>
      </c>
      <c r="E754" t="s">
        <v>1029</v>
      </c>
      <c r="F754" t="s">
        <v>1033</v>
      </c>
      <c r="G754">
        <v>4</v>
      </c>
      <c r="H754">
        <v>29873</v>
      </c>
      <c r="I754">
        <v>20</v>
      </c>
      <c r="J754" t="s">
        <v>1037</v>
      </c>
      <c r="K754">
        <v>95593.600000000006</v>
      </c>
    </row>
    <row r="755" spans="1:11" x14ac:dyDescent="0.25">
      <c r="A755" t="s">
        <v>763</v>
      </c>
      <c r="B755" s="1">
        <v>45215</v>
      </c>
      <c r="C755" t="s">
        <v>1011</v>
      </c>
      <c r="D755" t="s">
        <v>1019</v>
      </c>
      <c r="E755" t="s">
        <v>1028</v>
      </c>
      <c r="F755" t="s">
        <v>1033</v>
      </c>
      <c r="G755">
        <v>3</v>
      </c>
      <c r="H755">
        <v>5548</v>
      </c>
      <c r="I755">
        <v>0</v>
      </c>
      <c r="J755" t="s">
        <v>1036</v>
      </c>
      <c r="K755">
        <v>16644</v>
      </c>
    </row>
    <row r="756" spans="1:11" x14ac:dyDescent="0.25">
      <c r="A756" t="s">
        <v>764</v>
      </c>
      <c r="B756" s="1">
        <v>45038</v>
      </c>
      <c r="C756" t="s">
        <v>1012</v>
      </c>
      <c r="D756" t="s">
        <v>1016</v>
      </c>
      <c r="E756" t="s">
        <v>1022</v>
      </c>
      <c r="F756" t="s">
        <v>1032</v>
      </c>
      <c r="G756">
        <v>6</v>
      </c>
      <c r="H756">
        <v>33225</v>
      </c>
      <c r="I756">
        <v>15</v>
      </c>
      <c r="J756" t="s">
        <v>1035</v>
      </c>
      <c r="K756">
        <v>169447.5</v>
      </c>
    </row>
    <row r="757" spans="1:11" x14ac:dyDescent="0.25">
      <c r="A757" t="s">
        <v>765</v>
      </c>
      <c r="B757" s="1">
        <v>45165</v>
      </c>
      <c r="C757" t="s">
        <v>1013</v>
      </c>
      <c r="D757" t="s">
        <v>1020</v>
      </c>
      <c r="E757" t="s">
        <v>1023</v>
      </c>
      <c r="F757" t="s">
        <v>1032</v>
      </c>
      <c r="G757">
        <v>7</v>
      </c>
      <c r="H757">
        <v>14151</v>
      </c>
      <c r="I757">
        <v>10</v>
      </c>
      <c r="J757" t="s">
        <v>1035</v>
      </c>
      <c r="K757">
        <v>89151.3</v>
      </c>
    </row>
    <row r="758" spans="1:11" x14ac:dyDescent="0.25">
      <c r="A758" t="s">
        <v>766</v>
      </c>
      <c r="B758" s="1">
        <v>45285</v>
      </c>
      <c r="C758" t="s">
        <v>1013</v>
      </c>
      <c r="D758" t="s">
        <v>1017</v>
      </c>
      <c r="E758" t="s">
        <v>1029</v>
      </c>
      <c r="F758" t="s">
        <v>1034</v>
      </c>
      <c r="G758">
        <v>3</v>
      </c>
      <c r="H758">
        <v>40996</v>
      </c>
      <c r="I758">
        <v>15</v>
      </c>
      <c r="J758" t="s">
        <v>1035</v>
      </c>
      <c r="K758">
        <v>104539.8</v>
      </c>
    </row>
    <row r="759" spans="1:11" x14ac:dyDescent="0.25">
      <c r="A759" t="s">
        <v>767</v>
      </c>
      <c r="B759" s="1">
        <v>45058</v>
      </c>
      <c r="C759" t="s">
        <v>1011</v>
      </c>
      <c r="D759" t="s">
        <v>1020</v>
      </c>
      <c r="E759" t="s">
        <v>1023</v>
      </c>
      <c r="F759" t="s">
        <v>1034</v>
      </c>
      <c r="G759">
        <v>2</v>
      </c>
      <c r="H759">
        <v>26731</v>
      </c>
      <c r="I759">
        <v>20</v>
      </c>
      <c r="J759" t="s">
        <v>1035</v>
      </c>
      <c r="K759">
        <v>42769.600000000013</v>
      </c>
    </row>
    <row r="760" spans="1:11" x14ac:dyDescent="0.25">
      <c r="A760" t="s">
        <v>768</v>
      </c>
      <c r="B760" s="1">
        <v>45115</v>
      </c>
      <c r="C760" t="s">
        <v>1013</v>
      </c>
      <c r="D760" t="s">
        <v>1021</v>
      </c>
      <c r="E760" t="s">
        <v>1028</v>
      </c>
      <c r="F760" t="s">
        <v>1032</v>
      </c>
      <c r="G760">
        <v>7</v>
      </c>
      <c r="H760">
        <v>12694</v>
      </c>
      <c r="I760">
        <v>15</v>
      </c>
      <c r="J760" t="s">
        <v>1035</v>
      </c>
      <c r="K760">
        <v>75529.3</v>
      </c>
    </row>
    <row r="761" spans="1:11" x14ac:dyDescent="0.25">
      <c r="A761" t="s">
        <v>769</v>
      </c>
      <c r="B761" s="1">
        <v>45012</v>
      </c>
      <c r="C761" t="s">
        <v>1013</v>
      </c>
      <c r="D761" t="s">
        <v>1021</v>
      </c>
      <c r="E761" t="s">
        <v>1022</v>
      </c>
      <c r="F761" t="s">
        <v>1034</v>
      </c>
      <c r="G761">
        <v>9</v>
      </c>
      <c r="H761">
        <v>43302</v>
      </c>
      <c r="I761">
        <v>20</v>
      </c>
      <c r="J761" t="s">
        <v>1038</v>
      </c>
      <c r="K761">
        <v>311774.40000000002</v>
      </c>
    </row>
    <row r="762" spans="1:11" x14ac:dyDescent="0.25">
      <c r="A762" t="s">
        <v>770</v>
      </c>
      <c r="B762" s="1">
        <v>45237</v>
      </c>
      <c r="C762" t="s">
        <v>1011</v>
      </c>
      <c r="D762" t="s">
        <v>1016</v>
      </c>
      <c r="E762" t="s">
        <v>1029</v>
      </c>
      <c r="F762" t="s">
        <v>1034</v>
      </c>
      <c r="G762">
        <v>10</v>
      </c>
      <c r="H762">
        <v>33247</v>
      </c>
      <c r="I762">
        <v>10</v>
      </c>
      <c r="J762" t="s">
        <v>1036</v>
      </c>
      <c r="K762">
        <v>299223</v>
      </c>
    </row>
    <row r="763" spans="1:11" x14ac:dyDescent="0.25">
      <c r="A763" t="s">
        <v>771</v>
      </c>
      <c r="B763" s="1">
        <v>45237</v>
      </c>
      <c r="C763" t="s">
        <v>1013</v>
      </c>
      <c r="D763" t="s">
        <v>1018</v>
      </c>
      <c r="E763" t="s">
        <v>1029</v>
      </c>
      <c r="F763" t="s">
        <v>1032</v>
      </c>
      <c r="G763">
        <v>4</v>
      </c>
      <c r="H763">
        <v>8106</v>
      </c>
      <c r="I763">
        <v>10</v>
      </c>
      <c r="J763" t="s">
        <v>1037</v>
      </c>
      <c r="K763">
        <v>29181.599999999999</v>
      </c>
    </row>
    <row r="764" spans="1:11" x14ac:dyDescent="0.25">
      <c r="A764" t="s">
        <v>772</v>
      </c>
      <c r="B764" s="1">
        <v>44985</v>
      </c>
      <c r="C764" t="s">
        <v>1010</v>
      </c>
      <c r="D764" t="s">
        <v>1015</v>
      </c>
      <c r="E764" t="s">
        <v>1022</v>
      </c>
      <c r="F764" t="s">
        <v>1034</v>
      </c>
      <c r="G764">
        <v>7</v>
      </c>
      <c r="H764">
        <v>10428</v>
      </c>
      <c r="I764">
        <v>10</v>
      </c>
      <c r="J764" t="s">
        <v>1037</v>
      </c>
      <c r="K764">
        <v>65696.400000000009</v>
      </c>
    </row>
    <row r="765" spans="1:11" x14ac:dyDescent="0.25">
      <c r="A765" t="s">
        <v>773</v>
      </c>
      <c r="B765" s="1">
        <v>45010</v>
      </c>
      <c r="C765" t="s">
        <v>1010</v>
      </c>
      <c r="D765" t="s">
        <v>1015</v>
      </c>
      <c r="E765" t="s">
        <v>1022</v>
      </c>
      <c r="F765" t="s">
        <v>1032</v>
      </c>
      <c r="G765">
        <v>4</v>
      </c>
      <c r="H765">
        <v>36430</v>
      </c>
      <c r="I765">
        <v>0</v>
      </c>
      <c r="J765" t="s">
        <v>1039</v>
      </c>
      <c r="K765">
        <v>145720</v>
      </c>
    </row>
    <row r="766" spans="1:11" x14ac:dyDescent="0.25">
      <c r="A766" t="s">
        <v>774</v>
      </c>
      <c r="B766" s="1">
        <v>45086</v>
      </c>
      <c r="C766" t="s">
        <v>1010</v>
      </c>
      <c r="D766" t="s">
        <v>1021</v>
      </c>
      <c r="E766" t="s">
        <v>1023</v>
      </c>
      <c r="F766" t="s">
        <v>1033</v>
      </c>
      <c r="G766">
        <v>10</v>
      </c>
      <c r="H766">
        <v>29262</v>
      </c>
      <c r="I766">
        <v>0</v>
      </c>
      <c r="J766" t="s">
        <v>1038</v>
      </c>
      <c r="K766">
        <v>292620</v>
      </c>
    </row>
    <row r="767" spans="1:11" x14ac:dyDescent="0.25">
      <c r="A767" t="s">
        <v>775</v>
      </c>
      <c r="B767" s="1">
        <v>44982</v>
      </c>
      <c r="C767" t="s">
        <v>1010</v>
      </c>
      <c r="D767" t="s">
        <v>1021</v>
      </c>
      <c r="E767" t="s">
        <v>1025</v>
      </c>
      <c r="F767" t="s">
        <v>1034</v>
      </c>
      <c r="G767">
        <v>3</v>
      </c>
      <c r="H767">
        <v>15312</v>
      </c>
      <c r="I767">
        <v>20</v>
      </c>
      <c r="J767" t="s">
        <v>1036</v>
      </c>
      <c r="K767">
        <v>36748.800000000003</v>
      </c>
    </row>
    <row r="768" spans="1:11" x14ac:dyDescent="0.25">
      <c r="A768" t="s">
        <v>776</v>
      </c>
      <c r="B768" s="1">
        <v>45223</v>
      </c>
      <c r="C768" t="s">
        <v>1013</v>
      </c>
      <c r="D768" t="s">
        <v>1014</v>
      </c>
      <c r="E768" t="s">
        <v>1030</v>
      </c>
      <c r="F768" t="s">
        <v>1032</v>
      </c>
      <c r="G768">
        <v>7</v>
      </c>
      <c r="H768">
        <v>41236</v>
      </c>
      <c r="I768">
        <v>0</v>
      </c>
      <c r="J768" t="s">
        <v>1035</v>
      </c>
      <c r="K768">
        <v>288652</v>
      </c>
    </row>
    <row r="769" spans="1:11" x14ac:dyDescent="0.25">
      <c r="A769" t="s">
        <v>777</v>
      </c>
      <c r="B769" s="1">
        <v>44940</v>
      </c>
      <c r="C769" t="s">
        <v>1012</v>
      </c>
      <c r="D769" t="s">
        <v>1016</v>
      </c>
      <c r="E769" t="s">
        <v>1026</v>
      </c>
      <c r="F769" t="s">
        <v>1034</v>
      </c>
      <c r="G769">
        <v>5</v>
      </c>
      <c r="H769">
        <v>43161</v>
      </c>
      <c r="I769">
        <v>5</v>
      </c>
      <c r="J769" t="s">
        <v>1035</v>
      </c>
      <c r="K769">
        <v>205014.75</v>
      </c>
    </row>
    <row r="770" spans="1:11" x14ac:dyDescent="0.25">
      <c r="A770" t="s">
        <v>778</v>
      </c>
      <c r="B770" s="1">
        <v>45086</v>
      </c>
      <c r="C770" t="s">
        <v>1010</v>
      </c>
      <c r="D770" t="s">
        <v>1019</v>
      </c>
      <c r="E770" t="s">
        <v>1024</v>
      </c>
      <c r="F770" t="s">
        <v>1033</v>
      </c>
      <c r="G770">
        <v>10</v>
      </c>
      <c r="H770">
        <v>7963</v>
      </c>
      <c r="I770">
        <v>10</v>
      </c>
      <c r="J770" t="s">
        <v>1037</v>
      </c>
      <c r="K770">
        <v>71667</v>
      </c>
    </row>
    <row r="771" spans="1:11" x14ac:dyDescent="0.25">
      <c r="A771" t="s">
        <v>779</v>
      </c>
      <c r="B771" s="1">
        <v>45221</v>
      </c>
      <c r="C771" t="s">
        <v>1010</v>
      </c>
      <c r="D771" t="s">
        <v>1015</v>
      </c>
      <c r="E771" t="s">
        <v>1028</v>
      </c>
      <c r="F771" t="s">
        <v>1033</v>
      </c>
      <c r="G771">
        <v>6</v>
      </c>
      <c r="H771">
        <v>29939</v>
      </c>
      <c r="I771">
        <v>10</v>
      </c>
      <c r="J771" t="s">
        <v>1037</v>
      </c>
      <c r="K771">
        <v>161670.6</v>
      </c>
    </row>
    <row r="772" spans="1:11" x14ac:dyDescent="0.25">
      <c r="A772" t="s">
        <v>780</v>
      </c>
      <c r="B772" s="1">
        <v>45273</v>
      </c>
      <c r="C772" t="s">
        <v>1013</v>
      </c>
      <c r="D772" t="s">
        <v>1016</v>
      </c>
      <c r="E772" t="s">
        <v>1027</v>
      </c>
      <c r="F772" t="s">
        <v>1033</v>
      </c>
      <c r="G772">
        <v>8</v>
      </c>
      <c r="H772">
        <v>47884</v>
      </c>
      <c r="I772">
        <v>20</v>
      </c>
      <c r="J772" t="s">
        <v>1038</v>
      </c>
      <c r="K772">
        <v>306457.59999999998</v>
      </c>
    </row>
    <row r="773" spans="1:11" x14ac:dyDescent="0.25">
      <c r="A773" t="s">
        <v>781</v>
      </c>
      <c r="B773" s="1">
        <v>45119</v>
      </c>
      <c r="C773" t="s">
        <v>1013</v>
      </c>
      <c r="D773" t="s">
        <v>1019</v>
      </c>
      <c r="E773" t="s">
        <v>1025</v>
      </c>
      <c r="F773" t="s">
        <v>1032</v>
      </c>
      <c r="G773">
        <v>9</v>
      </c>
      <c r="H773">
        <v>17973</v>
      </c>
      <c r="I773">
        <v>0</v>
      </c>
      <c r="J773" t="s">
        <v>1036</v>
      </c>
      <c r="K773">
        <v>161757</v>
      </c>
    </row>
    <row r="774" spans="1:11" x14ac:dyDescent="0.25">
      <c r="A774" t="s">
        <v>782</v>
      </c>
      <c r="B774" s="1">
        <v>45130</v>
      </c>
      <c r="C774" t="s">
        <v>1011</v>
      </c>
      <c r="D774" t="s">
        <v>1019</v>
      </c>
      <c r="E774" t="s">
        <v>1030</v>
      </c>
      <c r="F774" t="s">
        <v>1032</v>
      </c>
      <c r="G774">
        <v>3</v>
      </c>
      <c r="H774">
        <v>7769</v>
      </c>
      <c r="I774">
        <v>10</v>
      </c>
      <c r="J774" t="s">
        <v>1036</v>
      </c>
      <c r="K774">
        <v>20976.3</v>
      </c>
    </row>
    <row r="775" spans="1:11" x14ac:dyDescent="0.25">
      <c r="A775" t="s">
        <v>783</v>
      </c>
      <c r="B775" s="1">
        <v>45028</v>
      </c>
      <c r="C775" t="s">
        <v>1010</v>
      </c>
      <c r="D775" t="s">
        <v>1019</v>
      </c>
      <c r="E775" t="s">
        <v>1026</v>
      </c>
      <c r="F775" t="s">
        <v>1033</v>
      </c>
      <c r="G775">
        <v>4</v>
      </c>
      <c r="H775">
        <v>3284</v>
      </c>
      <c r="I775">
        <v>15</v>
      </c>
      <c r="J775" t="s">
        <v>1039</v>
      </c>
      <c r="K775">
        <v>11165.6</v>
      </c>
    </row>
    <row r="776" spans="1:11" x14ac:dyDescent="0.25">
      <c r="A776" t="s">
        <v>784</v>
      </c>
      <c r="B776" s="1">
        <v>44965</v>
      </c>
      <c r="C776" t="s">
        <v>1011</v>
      </c>
      <c r="D776" t="s">
        <v>1020</v>
      </c>
      <c r="E776" t="s">
        <v>1029</v>
      </c>
      <c r="F776" t="s">
        <v>1034</v>
      </c>
      <c r="G776">
        <v>3</v>
      </c>
      <c r="H776">
        <v>5778</v>
      </c>
      <c r="I776">
        <v>0</v>
      </c>
      <c r="J776" t="s">
        <v>1035</v>
      </c>
      <c r="K776">
        <v>17334</v>
      </c>
    </row>
    <row r="777" spans="1:11" x14ac:dyDescent="0.25">
      <c r="A777" t="s">
        <v>785</v>
      </c>
      <c r="B777" s="1">
        <v>45230</v>
      </c>
      <c r="C777" t="s">
        <v>1010</v>
      </c>
      <c r="D777" t="s">
        <v>1015</v>
      </c>
      <c r="E777" t="s">
        <v>1025</v>
      </c>
      <c r="F777" t="s">
        <v>1034</v>
      </c>
      <c r="G777">
        <v>10</v>
      </c>
      <c r="H777">
        <v>5614</v>
      </c>
      <c r="I777">
        <v>15</v>
      </c>
      <c r="J777" t="s">
        <v>1036</v>
      </c>
      <c r="K777">
        <v>47719</v>
      </c>
    </row>
    <row r="778" spans="1:11" x14ac:dyDescent="0.25">
      <c r="A778" t="s">
        <v>786</v>
      </c>
      <c r="B778" s="1">
        <v>45280</v>
      </c>
      <c r="C778" t="s">
        <v>1012</v>
      </c>
      <c r="D778" t="s">
        <v>1018</v>
      </c>
      <c r="E778" t="s">
        <v>1025</v>
      </c>
      <c r="F778" t="s">
        <v>1033</v>
      </c>
      <c r="G778">
        <v>9</v>
      </c>
      <c r="H778">
        <v>38443</v>
      </c>
      <c r="I778">
        <v>10</v>
      </c>
      <c r="J778" t="s">
        <v>1036</v>
      </c>
      <c r="K778">
        <v>311388.3</v>
      </c>
    </row>
    <row r="779" spans="1:11" x14ac:dyDescent="0.25">
      <c r="A779" t="s">
        <v>787</v>
      </c>
      <c r="B779" s="1">
        <v>45248</v>
      </c>
      <c r="C779" t="s">
        <v>1013</v>
      </c>
      <c r="D779" t="s">
        <v>1014</v>
      </c>
      <c r="E779" t="s">
        <v>1031</v>
      </c>
      <c r="F779" t="s">
        <v>1033</v>
      </c>
      <c r="G779">
        <v>4</v>
      </c>
      <c r="H779">
        <v>48680</v>
      </c>
      <c r="I779">
        <v>10</v>
      </c>
      <c r="J779" t="s">
        <v>1038</v>
      </c>
      <c r="K779">
        <v>175248</v>
      </c>
    </row>
    <row r="780" spans="1:11" x14ac:dyDescent="0.25">
      <c r="A780" t="s">
        <v>788</v>
      </c>
      <c r="B780" s="1">
        <v>45051</v>
      </c>
      <c r="C780" t="s">
        <v>1013</v>
      </c>
      <c r="D780" t="s">
        <v>1019</v>
      </c>
      <c r="E780" t="s">
        <v>1028</v>
      </c>
      <c r="F780" t="s">
        <v>1034</v>
      </c>
      <c r="G780">
        <v>3</v>
      </c>
      <c r="H780">
        <v>17423</v>
      </c>
      <c r="I780">
        <v>15</v>
      </c>
      <c r="J780" t="s">
        <v>1038</v>
      </c>
      <c r="K780">
        <v>44428.65</v>
      </c>
    </row>
    <row r="781" spans="1:11" x14ac:dyDescent="0.25">
      <c r="A781" t="s">
        <v>789</v>
      </c>
      <c r="B781" s="1">
        <v>44979</v>
      </c>
      <c r="C781" t="s">
        <v>1011</v>
      </c>
      <c r="D781" t="s">
        <v>1015</v>
      </c>
      <c r="E781" t="s">
        <v>1027</v>
      </c>
      <c r="F781" t="s">
        <v>1033</v>
      </c>
      <c r="G781">
        <v>5</v>
      </c>
      <c r="H781">
        <v>30221</v>
      </c>
      <c r="I781">
        <v>10</v>
      </c>
      <c r="J781" t="s">
        <v>1039</v>
      </c>
      <c r="K781">
        <v>135994.5</v>
      </c>
    </row>
    <row r="782" spans="1:11" x14ac:dyDescent="0.25">
      <c r="A782" t="s">
        <v>790</v>
      </c>
      <c r="B782" s="1">
        <v>45283</v>
      </c>
      <c r="C782" t="s">
        <v>1011</v>
      </c>
      <c r="D782" t="s">
        <v>1015</v>
      </c>
      <c r="E782" t="s">
        <v>1028</v>
      </c>
      <c r="F782" t="s">
        <v>1034</v>
      </c>
      <c r="G782">
        <v>9</v>
      </c>
      <c r="H782">
        <v>2229</v>
      </c>
      <c r="I782">
        <v>0</v>
      </c>
      <c r="J782" t="s">
        <v>1035</v>
      </c>
      <c r="K782">
        <v>20061</v>
      </c>
    </row>
    <row r="783" spans="1:11" x14ac:dyDescent="0.25">
      <c r="A783" t="s">
        <v>791</v>
      </c>
      <c r="B783" s="1">
        <v>45081</v>
      </c>
      <c r="C783" t="s">
        <v>1013</v>
      </c>
      <c r="D783" t="s">
        <v>1021</v>
      </c>
      <c r="E783" t="s">
        <v>1023</v>
      </c>
      <c r="F783" t="s">
        <v>1033</v>
      </c>
      <c r="G783">
        <v>3</v>
      </c>
      <c r="H783">
        <v>33617</v>
      </c>
      <c r="I783">
        <v>5</v>
      </c>
      <c r="J783" t="s">
        <v>1039</v>
      </c>
      <c r="K783">
        <v>95808.45</v>
      </c>
    </row>
    <row r="784" spans="1:11" x14ac:dyDescent="0.25">
      <c r="A784" t="s">
        <v>792</v>
      </c>
      <c r="B784" s="1">
        <v>45277</v>
      </c>
      <c r="C784" t="s">
        <v>1013</v>
      </c>
      <c r="D784" t="s">
        <v>1015</v>
      </c>
      <c r="E784" t="s">
        <v>1024</v>
      </c>
      <c r="F784" t="s">
        <v>1034</v>
      </c>
      <c r="G784">
        <v>7</v>
      </c>
      <c r="H784">
        <v>10755</v>
      </c>
      <c r="I784">
        <v>5</v>
      </c>
      <c r="J784" t="s">
        <v>1038</v>
      </c>
      <c r="K784">
        <v>71520.75</v>
      </c>
    </row>
    <row r="785" spans="1:11" x14ac:dyDescent="0.25">
      <c r="A785" t="s">
        <v>793</v>
      </c>
      <c r="B785" s="1">
        <v>45234</v>
      </c>
      <c r="C785" t="s">
        <v>1013</v>
      </c>
      <c r="D785" t="s">
        <v>1016</v>
      </c>
      <c r="E785" t="s">
        <v>1030</v>
      </c>
      <c r="F785" t="s">
        <v>1033</v>
      </c>
      <c r="G785">
        <v>3</v>
      </c>
      <c r="H785">
        <v>43786</v>
      </c>
      <c r="I785">
        <v>5</v>
      </c>
      <c r="J785" t="s">
        <v>1035</v>
      </c>
      <c r="K785">
        <v>124790.1</v>
      </c>
    </row>
    <row r="786" spans="1:11" x14ac:dyDescent="0.25">
      <c r="A786" t="s">
        <v>794</v>
      </c>
      <c r="B786" s="1">
        <v>44988</v>
      </c>
      <c r="C786" t="s">
        <v>1010</v>
      </c>
      <c r="D786" t="s">
        <v>1021</v>
      </c>
      <c r="E786" t="s">
        <v>1023</v>
      </c>
      <c r="F786" t="s">
        <v>1034</v>
      </c>
      <c r="G786">
        <v>10</v>
      </c>
      <c r="H786">
        <v>42965</v>
      </c>
      <c r="I786">
        <v>10</v>
      </c>
      <c r="J786" t="s">
        <v>1038</v>
      </c>
      <c r="K786">
        <v>386685</v>
      </c>
    </row>
    <row r="787" spans="1:11" x14ac:dyDescent="0.25">
      <c r="A787" t="s">
        <v>795</v>
      </c>
      <c r="B787" s="1">
        <v>45216</v>
      </c>
      <c r="C787" t="s">
        <v>1010</v>
      </c>
      <c r="D787" t="s">
        <v>1018</v>
      </c>
      <c r="E787" t="s">
        <v>1031</v>
      </c>
      <c r="F787" t="s">
        <v>1033</v>
      </c>
      <c r="G787">
        <v>3</v>
      </c>
      <c r="H787">
        <v>1056</v>
      </c>
      <c r="I787">
        <v>20</v>
      </c>
      <c r="J787" t="s">
        <v>1038</v>
      </c>
      <c r="K787">
        <v>2534.4</v>
      </c>
    </row>
    <row r="788" spans="1:11" x14ac:dyDescent="0.25">
      <c r="A788" t="s">
        <v>796</v>
      </c>
      <c r="B788" s="1">
        <v>44948</v>
      </c>
      <c r="C788" t="s">
        <v>1012</v>
      </c>
      <c r="D788" t="s">
        <v>1017</v>
      </c>
      <c r="E788" t="s">
        <v>1023</v>
      </c>
      <c r="F788" t="s">
        <v>1032</v>
      </c>
      <c r="G788">
        <v>6</v>
      </c>
      <c r="H788">
        <v>3479</v>
      </c>
      <c r="I788">
        <v>0</v>
      </c>
      <c r="J788" t="s">
        <v>1039</v>
      </c>
      <c r="K788">
        <v>20874</v>
      </c>
    </row>
    <row r="789" spans="1:11" x14ac:dyDescent="0.25">
      <c r="A789" t="s">
        <v>797</v>
      </c>
      <c r="B789" s="1">
        <v>45104</v>
      </c>
      <c r="C789" t="s">
        <v>1010</v>
      </c>
      <c r="D789" t="s">
        <v>1015</v>
      </c>
      <c r="E789" t="s">
        <v>1022</v>
      </c>
      <c r="F789" t="s">
        <v>1033</v>
      </c>
      <c r="G789">
        <v>2</v>
      </c>
      <c r="H789">
        <v>44555</v>
      </c>
      <c r="I789">
        <v>0</v>
      </c>
      <c r="J789" t="s">
        <v>1037</v>
      </c>
      <c r="K789">
        <v>89110</v>
      </c>
    </row>
    <row r="790" spans="1:11" x14ac:dyDescent="0.25">
      <c r="A790" t="s">
        <v>798</v>
      </c>
      <c r="B790" s="1">
        <v>45199</v>
      </c>
      <c r="C790" t="s">
        <v>1013</v>
      </c>
      <c r="D790" t="s">
        <v>1019</v>
      </c>
      <c r="E790" t="s">
        <v>1030</v>
      </c>
      <c r="F790" t="s">
        <v>1034</v>
      </c>
      <c r="G790">
        <v>9</v>
      </c>
      <c r="H790">
        <v>26590</v>
      </c>
      <c r="I790">
        <v>10</v>
      </c>
      <c r="J790" t="s">
        <v>1037</v>
      </c>
      <c r="K790">
        <v>215379</v>
      </c>
    </row>
    <row r="791" spans="1:11" x14ac:dyDescent="0.25">
      <c r="A791" t="s">
        <v>799</v>
      </c>
      <c r="B791" s="1">
        <v>45146</v>
      </c>
      <c r="C791" t="s">
        <v>1010</v>
      </c>
      <c r="D791" t="s">
        <v>1018</v>
      </c>
      <c r="E791" t="s">
        <v>1024</v>
      </c>
      <c r="F791" t="s">
        <v>1034</v>
      </c>
      <c r="G791">
        <v>9</v>
      </c>
      <c r="H791">
        <v>18461</v>
      </c>
      <c r="I791">
        <v>0</v>
      </c>
      <c r="J791" t="s">
        <v>1039</v>
      </c>
      <c r="K791">
        <v>166149</v>
      </c>
    </row>
    <row r="792" spans="1:11" x14ac:dyDescent="0.25">
      <c r="A792" t="s">
        <v>800</v>
      </c>
      <c r="B792" s="1">
        <v>45265</v>
      </c>
      <c r="C792" t="s">
        <v>1011</v>
      </c>
      <c r="D792" t="s">
        <v>1018</v>
      </c>
      <c r="E792" t="s">
        <v>1029</v>
      </c>
      <c r="F792" t="s">
        <v>1033</v>
      </c>
      <c r="G792">
        <v>2</v>
      </c>
      <c r="H792">
        <v>10935</v>
      </c>
      <c r="I792">
        <v>10</v>
      </c>
      <c r="J792" t="s">
        <v>1038</v>
      </c>
      <c r="K792">
        <v>19683</v>
      </c>
    </row>
    <row r="793" spans="1:11" x14ac:dyDescent="0.25">
      <c r="A793" t="s">
        <v>801</v>
      </c>
      <c r="B793" s="1">
        <v>45116</v>
      </c>
      <c r="C793" t="s">
        <v>1013</v>
      </c>
      <c r="D793" t="s">
        <v>1017</v>
      </c>
      <c r="E793" t="s">
        <v>1022</v>
      </c>
      <c r="F793" t="s">
        <v>1032</v>
      </c>
      <c r="G793">
        <v>3</v>
      </c>
      <c r="H793">
        <v>46878</v>
      </c>
      <c r="I793">
        <v>5</v>
      </c>
      <c r="J793" t="s">
        <v>1038</v>
      </c>
      <c r="K793">
        <v>133602.29999999999</v>
      </c>
    </row>
    <row r="794" spans="1:11" x14ac:dyDescent="0.25">
      <c r="A794" t="s">
        <v>802</v>
      </c>
      <c r="B794" s="1">
        <v>44962</v>
      </c>
      <c r="C794" t="s">
        <v>1010</v>
      </c>
      <c r="D794" t="s">
        <v>1020</v>
      </c>
      <c r="E794" t="s">
        <v>1022</v>
      </c>
      <c r="F794" t="s">
        <v>1033</v>
      </c>
      <c r="G794">
        <v>6</v>
      </c>
      <c r="H794">
        <v>22615</v>
      </c>
      <c r="I794">
        <v>0</v>
      </c>
      <c r="J794" t="s">
        <v>1038</v>
      </c>
      <c r="K794">
        <v>135690</v>
      </c>
    </row>
    <row r="795" spans="1:11" x14ac:dyDescent="0.25">
      <c r="A795" t="s">
        <v>803</v>
      </c>
      <c r="B795" s="1">
        <v>45186</v>
      </c>
      <c r="C795" t="s">
        <v>1013</v>
      </c>
      <c r="D795" t="s">
        <v>1020</v>
      </c>
      <c r="E795" t="s">
        <v>1030</v>
      </c>
      <c r="F795" t="s">
        <v>1034</v>
      </c>
      <c r="G795">
        <v>3</v>
      </c>
      <c r="H795">
        <v>26646</v>
      </c>
      <c r="I795">
        <v>20</v>
      </c>
      <c r="J795" t="s">
        <v>1037</v>
      </c>
      <c r="K795">
        <v>63950.400000000001</v>
      </c>
    </row>
    <row r="796" spans="1:11" x14ac:dyDescent="0.25">
      <c r="A796" t="s">
        <v>804</v>
      </c>
      <c r="B796" s="1">
        <v>45258</v>
      </c>
      <c r="C796" t="s">
        <v>1011</v>
      </c>
      <c r="D796" t="s">
        <v>1018</v>
      </c>
      <c r="E796" t="s">
        <v>1022</v>
      </c>
      <c r="F796" t="s">
        <v>1034</v>
      </c>
      <c r="G796">
        <v>1</v>
      </c>
      <c r="H796">
        <v>38659</v>
      </c>
      <c r="I796">
        <v>10</v>
      </c>
      <c r="J796" t="s">
        <v>1035</v>
      </c>
      <c r="K796">
        <v>34793.1</v>
      </c>
    </row>
    <row r="797" spans="1:11" x14ac:dyDescent="0.25">
      <c r="A797" t="s">
        <v>805</v>
      </c>
      <c r="B797" s="1">
        <v>45101</v>
      </c>
      <c r="C797" t="s">
        <v>1011</v>
      </c>
      <c r="D797" t="s">
        <v>1019</v>
      </c>
      <c r="E797" t="s">
        <v>1029</v>
      </c>
      <c r="F797" t="s">
        <v>1033</v>
      </c>
      <c r="G797">
        <v>6</v>
      </c>
      <c r="H797">
        <v>1242</v>
      </c>
      <c r="I797">
        <v>0</v>
      </c>
      <c r="J797" t="s">
        <v>1036</v>
      </c>
      <c r="K797">
        <v>7452</v>
      </c>
    </row>
    <row r="798" spans="1:11" x14ac:dyDescent="0.25">
      <c r="A798" t="s">
        <v>806</v>
      </c>
      <c r="B798" s="1">
        <v>44933</v>
      </c>
      <c r="C798" t="s">
        <v>1010</v>
      </c>
      <c r="D798" t="s">
        <v>1016</v>
      </c>
      <c r="E798" t="s">
        <v>1027</v>
      </c>
      <c r="F798" t="s">
        <v>1033</v>
      </c>
      <c r="G798">
        <v>7</v>
      </c>
      <c r="H798">
        <v>34776</v>
      </c>
      <c r="I798">
        <v>15</v>
      </c>
      <c r="J798" t="s">
        <v>1039</v>
      </c>
      <c r="K798">
        <v>206917.2</v>
      </c>
    </row>
    <row r="799" spans="1:11" x14ac:dyDescent="0.25">
      <c r="A799" t="s">
        <v>807</v>
      </c>
      <c r="B799" s="1">
        <v>45142</v>
      </c>
      <c r="C799" t="s">
        <v>1013</v>
      </c>
      <c r="D799" t="s">
        <v>1017</v>
      </c>
      <c r="E799" t="s">
        <v>1028</v>
      </c>
      <c r="F799" t="s">
        <v>1033</v>
      </c>
      <c r="G799">
        <v>7</v>
      </c>
      <c r="H799">
        <v>47373</v>
      </c>
      <c r="I799">
        <v>15</v>
      </c>
      <c r="J799" t="s">
        <v>1039</v>
      </c>
      <c r="K799">
        <v>281869.34999999998</v>
      </c>
    </row>
    <row r="800" spans="1:11" x14ac:dyDescent="0.25">
      <c r="A800" t="s">
        <v>808</v>
      </c>
      <c r="B800" s="1">
        <v>45177</v>
      </c>
      <c r="C800" t="s">
        <v>1012</v>
      </c>
      <c r="D800" t="s">
        <v>1017</v>
      </c>
      <c r="E800" t="s">
        <v>1030</v>
      </c>
      <c r="F800" t="s">
        <v>1034</v>
      </c>
      <c r="G800">
        <v>5</v>
      </c>
      <c r="H800">
        <v>33157</v>
      </c>
      <c r="I800">
        <v>20</v>
      </c>
      <c r="J800" t="s">
        <v>1038</v>
      </c>
      <c r="K800">
        <v>132628</v>
      </c>
    </row>
    <row r="801" spans="1:11" x14ac:dyDescent="0.25">
      <c r="A801" t="s">
        <v>809</v>
      </c>
      <c r="B801" s="1">
        <v>44981</v>
      </c>
      <c r="C801" t="s">
        <v>1011</v>
      </c>
      <c r="D801" t="s">
        <v>1016</v>
      </c>
      <c r="E801" t="s">
        <v>1026</v>
      </c>
      <c r="F801" t="s">
        <v>1033</v>
      </c>
      <c r="G801">
        <v>8</v>
      </c>
      <c r="H801">
        <v>32335</v>
      </c>
      <c r="I801">
        <v>20</v>
      </c>
      <c r="J801" t="s">
        <v>1038</v>
      </c>
      <c r="K801">
        <v>206944</v>
      </c>
    </row>
    <row r="802" spans="1:11" x14ac:dyDescent="0.25">
      <c r="A802" t="s">
        <v>810</v>
      </c>
      <c r="B802" s="1">
        <v>45148</v>
      </c>
      <c r="C802" t="s">
        <v>1012</v>
      </c>
      <c r="D802" t="s">
        <v>1014</v>
      </c>
      <c r="E802" t="s">
        <v>1023</v>
      </c>
      <c r="F802" t="s">
        <v>1034</v>
      </c>
      <c r="G802">
        <v>5</v>
      </c>
      <c r="H802">
        <v>29577</v>
      </c>
      <c r="I802">
        <v>15</v>
      </c>
      <c r="J802" t="s">
        <v>1037</v>
      </c>
      <c r="K802">
        <v>125702.25</v>
      </c>
    </row>
    <row r="803" spans="1:11" x14ac:dyDescent="0.25">
      <c r="A803" t="s">
        <v>811</v>
      </c>
      <c r="B803" s="1">
        <v>45112</v>
      </c>
      <c r="C803" t="s">
        <v>1010</v>
      </c>
      <c r="D803" t="s">
        <v>1020</v>
      </c>
      <c r="E803" t="s">
        <v>1029</v>
      </c>
      <c r="F803" t="s">
        <v>1033</v>
      </c>
      <c r="G803">
        <v>3</v>
      </c>
      <c r="H803">
        <v>27470</v>
      </c>
      <c r="I803">
        <v>10</v>
      </c>
      <c r="J803" t="s">
        <v>1038</v>
      </c>
      <c r="K803">
        <v>74169</v>
      </c>
    </row>
    <row r="804" spans="1:11" x14ac:dyDescent="0.25">
      <c r="A804" t="s">
        <v>812</v>
      </c>
      <c r="B804" s="1">
        <v>45252</v>
      </c>
      <c r="C804" t="s">
        <v>1011</v>
      </c>
      <c r="D804" t="s">
        <v>1017</v>
      </c>
      <c r="E804" t="s">
        <v>1024</v>
      </c>
      <c r="F804" t="s">
        <v>1034</v>
      </c>
      <c r="G804">
        <v>4</v>
      </c>
      <c r="H804">
        <v>48694</v>
      </c>
      <c r="I804">
        <v>0</v>
      </c>
      <c r="J804" t="s">
        <v>1035</v>
      </c>
      <c r="K804">
        <v>194776</v>
      </c>
    </row>
    <row r="805" spans="1:11" x14ac:dyDescent="0.25">
      <c r="A805" t="s">
        <v>813</v>
      </c>
      <c r="B805" s="1">
        <v>45162</v>
      </c>
      <c r="C805" t="s">
        <v>1012</v>
      </c>
      <c r="D805" t="s">
        <v>1016</v>
      </c>
      <c r="E805" t="s">
        <v>1025</v>
      </c>
      <c r="F805" t="s">
        <v>1032</v>
      </c>
      <c r="G805">
        <v>2</v>
      </c>
      <c r="H805">
        <v>5594</v>
      </c>
      <c r="I805">
        <v>15</v>
      </c>
      <c r="J805" t="s">
        <v>1039</v>
      </c>
      <c r="K805">
        <v>9509.7999999999993</v>
      </c>
    </row>
    <row r="806" spans="1:11" x14ac:dyDescent="0.25">
      <c r="A806" t="s">
        <v>814</v>
      </c>
      <c r="B806" s="1">
        <v>45289</v>
      </c>
      <c r="C806" t="s">
        <v>1011</v>
      </c>
      <c r="D806" t="s">
        <v>1020</v>
      </c>
      <c r="E806" t="s">
        <v>1028</v>
      </c>
      <c r="F806" t="s">
        <v>1034</v>
      </c>
      <c r="G806">
        <v>3</v>
      </c>
      <c r="H806">
        <v>36397</v>
      </c>
      <c r="I806">
        <v>20</v>
      </c>
      <c r="J806" t="s">
        <v>1036</v>
      </c>
      <c r="K806">
        <v>87352.8</v>
      </c>
    </row>
    <row r="807" spans="1:11" x14ac:dyDescent="0.25">
      <c r="A807" t="s">
        <v>815</v>
      </c>
      <c r="B807" s="1">
        <v>45005</v>
      </c>
      <c r="C807" t="s">
        <v>1012</v>
      </c>
      <c r="D807" t="s">
        <v>1018</v>
      </c>
      <c r="E807" t="s">
        <v>1027</v>
      </c>
      <c r="F807" t="s">
        <v>1032</v>
      </c>
      <c r="G807">
        <v>3</v>
      </c>
      <c r="H807">
        <v>15801</v>
      </c>
      <c r="I807">
        <v>0</v>
      </c>
      <c r="J807" t="s">
        <v>1038</v>
      </c>
      <c r="K807">
        <v>47403</v>
      </c>
    </row>
    <row r="808" spans="1:11" x14ac:dyDescent="0.25">
      <c r="A808" t="s">
        <v>816</v>
      </c>
      <c r="B808" s="1">
        <v>45149</v>
      </c>
      <c r="C808" t="s">
        <v>1013</v>
      </c>
      <c r="D808" t="s">
        <v>1021</v>
      </c>
      <c r="E808" t="s">
        <v>1029</v>
      </c>
      <c r="F808" t="s">
        <v>1034</v>
      </c>
      <c r="G808">
        <v>1</v>
      </c>
      <c r="H808">
        <v>1216</v>
      </c>
      <c r="I808">
        <v>10</v>
      </c>
      <c r="J808" t="s">
        <v>1035</v>
      </c>
      <c r="K808">
        <v>1094.4000000000001</v>
      </c>
    </row>
    <row r="809" spans="1:11" x14ac:dyDescent="0.25">
      <c r="A809" t="s">
        <v>817</v>
      </c>
      <c r="B809" s="1">
        <v>45017</v>
      </c>
      <c r="C809" t="s">
        <v>1013</v>
      </c>
      <c r="D809" t="s">
        <v>1018</v>
      </c>
      <c r="E809" t="s">
        <v>1027</v>
      </c>
      <c r="F809" t="s">
        <v>1032</v>
      </c>
      <c r="G809">
        <v>10</v>
      </c>
      <c r="H809">
        <v>26193</v>
      </c>
      <c r="I809">
        <v>15</v>
      </c>
      <c r="J809" t="s">
        <v>1036</v>
      </c>
      <c r="K809">
        <v>222640.5</v>
      </c>
    </row>
    <row r="810" spans="1:11" x14ac:dyDescent="0.25">
      <c r="A810" t="s">
        <v>818</v>
      </c>
      <c r="B810" s="1">
        <v>45194</v>
      </c>
      <c r="C810" t="s">
        <v>1010</v>
      </c>
      <c r="D810" t="s">
        <v>1021</v>
      </c>
      <c r="E810" t="s">
        <v>1029</v>
      </c>
      <c r="F810" t="s">
        <v>1033</v>
      </c>
      <c r="G810">
        <v>10</v>
      </c>
      <c r="H810">
        <v>46171</v>
      </c>
      <c r="I810">
        <v>20</v>
      </c>
      <c r="J810" t="s">
        <v>1037</v>
      </c>
      <c r="K810">
        <v>369368</v>
      </c>
    </row>
    <row r="811" spans="1:11" x14ac:dyDescent="0.25">
      <c r="A811" t="s">
        <v>819</v>
      </c>
      <c r="B811" s="1">
        <v>45260</v>
      </c>
      <c r="C811" t="s">
        <v>1011</v>
      </c>
      <c r="D811" t="s">
        <v>1017</v>
      </c>
      <c r="E811" t="s">
        <v>1026</v>
      </c>
      <c r="F811" t="s">
        <v>1034</v>
      </c>
      <c r="G811">
        <v>5</v>
      </c>
      <c r="H811">
        <v>32592</v>
      </c>
      <c r="I811">
        <v>15</v>
      </c>
      <c r="J811" t="s">
        <v>1036</v>
      </c>
      <c r="K811">
        <v>138516</v>
      </c>
    </row>
    <row r="812" spans="1:11" x14ac:dyDescent="0.25">
      <c r="A812" t="s">
        <v>820</v>
      </c>
      <c r="B812" s="1">
        <v>45065</v>
      </c>
      <c r="C812" t="s">
        <v>1012</v>
      </c>
      <c r="D812" t="s">
        <v>1019</v>
      </c>
      <c r="E812" t="s">
        <v>1029</v>
      </c>
      <c r="F812" t="s">
        <v>1032</v>
      </c>
      <c r="G812">
        <v>10</v>
      </c>
      <c r="H812">
        <v>8943</v>
      </c>
      <c r="I812">
        <v>10</v>
      </c>
      <c r="J812" t="s">
        <v>1039</v>
      </c>
      <c r="K812">
        <v>80487</v>
      </c>
    </row>
    <row r="813" spans="1:11" x14ac:dyDescent="0.25">
      <c r="A813" t="s">
        <v>821</v>
      </c>
      <c r="B813" s="1">
        <v>45242</v>
      </c>
      <c r="C813" t="s">
        <v>1010</v>
      </c>
      <c r="D813" t="s">
        <v>1016</v>
      </c>
      <c r="E813" t="s">
        <v>1029</v>
      </c>
      <c r="F813" t="s">
        <v>1032</v>
      </c>
      <c r="G813">
        <v>10</v>
      </c>
      <c r="H813">
        <v>38174</v>
      </c>
      <c r="I813">
        <v>20</v>
      </c>
      <c r="J813" t="s">
        <v>1035</v>
      </c>
      <c r="K813">
        <v>305392</v>
      </c>
    </row>
    <row r="814" spans="1:11" x14ac:dyDescent="0.25">
      <c r="A814" t="s">
        <v>822</v>
      </c>
      <c r="B814" s="1">
        <v>45202</v>
      </c>
      <c r="C814" t="s">
        <v>1013</v>
      </c>
      <c r="D814" t="s">
        <v>1019</v>
      </c>
      <c r="E814" t="s">
        <v>1026</v>
      </c>
      <c r="F814" t="s">
        <v>1032</v>
      </c>
      <c r="G814">
        <v>10</v>
      </c>
      <c r="H814">
        <v>36081</v>
      </c>
      <c r="I814">
        <v>0</v>
      </c>
      <c r="J814" t="s">
        <v>1039</v>
      </c>
      <c r="K814">
        <v>360810</v>
      </c>
    </row>
    <row r="815" spans="1:11" x14ac:dyDescent="0.25">
      <c r="A815" t="s">
        <v>823</v>
      </c>
      <c r="B815" s="1">
        <v>45174</v>
      </c>
      <c r="C815" t="s">
        <v>1013</v>
      </c>
      <c r="D815" t="s">
        <v>1016</v>
      </c>
      <c r="E815" t="s">
        <v>1024</v>
      </c>
      <c r="F815" t="s">
        <v>1034</v>
      </c>
      <c r="G815">
        <v>4</v>
      </c>
      <c r="H815">
        <v>24522</v>
      </c>
      <c r="I815">
        <v>15</v>
      </c>
      <c r="J815" t="s">
        <v>1036</v>
      </c>
      <c r="K815">
        <v>83374.8</v>
      </c>
    </row>
    <row r="816" spans="1:11" x14ac:dyDescent="0.25">
      <c r="A816" t="s">
        <v>824</v>
      </c>
      <c r="B816" s="1">
        <v>45165</v>
      </c>
      <c r="C816" t="s">
        <v>1010</v>
      </c>
      <c r="D816" t="s">
        <v>1015</v>
      </c>
      <c r="E816" t="s">
        <v>1031</v>
      </c>
      <c r="F816" t="s">
        <v>1033</v>
      </c>
      <c r="G816">
        <v>10</v>
      </c>
      <c r="H816">
        <v>22852</v>
      </c>
      <c r="I816">
        <v>0</v>
      </c>
      <c r="J816" t="s">
        <v>1039</v>
      </c>
      <c r="K816">
        <v>228520</v>
      </c>
    </row>
    <row r="817" spans="1:11" x14ac:dyDescent="0.25">
      <c r="A817" t="s">
        <v>825</v>
      </c>
      <c r="B817" s="1">
        <v>45150</v>
      </c>
      <c r="C817" t="s">
        <v>1011</v>
      </c>
      <c r="D817" t="s">
        <v>1017</v>
      </c>
      <c r="E817" t="s">
        <v>1024</v>
      </c>
      <c r="F817" t="s">
        <v>1033</v>
      </c>
      <c r="G817">
        <v>4</v>
      </c>
      <c r="H817">
        <v>45684</v>
      </c>
      <c r="I817">
        <v>5</v>
      </c>
      <c r="J817" t="s">
        <v>1036</v>
      </c>
      <c r="K817">
        <v>173599.2</v>
      </c>
    </row>
    <row r="818" spans="1:11" x14ac:dyDescent="0.25">
      <c r="A818" t="s">
        <v>826</v>
      </c>
      <c r="B818" s="1">
        <v>45230</v>
      </c>
      <c r="C818" t="s">
        <v>1012</v>
      </c>
      <c r="D818" t="s">
        <v>1016</v>
      </c>
      <c r="E818" t="s">
        <v>1026</v>
      </c>
      <c r="F818" t="s">
        <v>1034</v>
      </c>
      <c r="G818">
        <v>4</v>
      </c>
      <c r="H818">
        <v>20846</v>
      </c>
      <c r="I818">
        <v>10</v>
      </c>
      <c r="J818" t="s">
        <v>1037</v>
      </c>
      <c r="K818">
        <v>75045.600000000006</v>
      </c>
    </row>
    <row r="819" spans="1:11" x14ac:dyDescent="0.25">
      <c r="A819" t="s">
        <v>827</v>
      </c>
      <c r="B819" s="1">
        <v>45064</v>
      </c>
      <c r="C819" t="s">
        <v>1013</v>
      </c>
      <c r="D819" t="s">
        <v>1014</v>
      </c>
      <c r="E819" t="s">
        <v>1028</v>
      </c>
      <c r="F819" t="s">
        <v>1034</v>
      </c>
      <c r="G819">
        <v>1</v>
      </c>
      <c r="H819">
        <v>27254</v>
      </c>
      <c r="I819">
        <v>15</v>
      </c>
      <c r="J819" t="s">
        <v>1039</v>
      </c>
      <c r="K819">
        <v>23165.9</v>
      </c>
    </row>
    <row r="820" spans="1:11" x14ac:dyDescent="0.25">
      <c r="A820" t="s">
        <v>828</v>
      </c>
      <c r="B820" s="1">
        <v>45092</v>
      </c>
      <c r="C820" t="s">
        <v>1010</v>
      </c>
      <c r="D820" t="s">
        <v>1014</v>
      </c>
      <c r="E820" t="s">
        <v>1025</v>
      </c>
      <c r="F820" t="s">
        <v>1034</v>
      </c>
      <c r="G820">
        <v>6</v>
      </c>
      <c r="H820">
        <v>4617</v>
      </c>
      <c r="I820">
        <v>20</v>
      </c>
      <c r="J820" t="s">
        <v>1039</v>
      </c>
      <c r="K820">
        <v>22161.599999999999</v>
      </c>
    </row>
    <row r="821" spans="1:11" x14ac:dyDescent="0.25">
      <c r="A821" t="s">
        <v>829</v>
      </c>
      <c r="B821" s="1">
        <v>45052</v>
      </c>
      <c r="C821" t="s">
        <v>1013</v>
      </c>
      <c r="D821" t="s">
        <v>1020</v>
      </c>
      <c r="E821" t="s">
        <v>1031</v>
      </c>
      <c r="F821" t="s">
        <v>1034</v>
      </c>
      <c r="G821">
        <v>2</v>
      </c>
      <c r="H821">
        <v>42436</v>
      </c>
      <c r="I821">
        <v>10</v>
      </c>
      <c r="J821" t="s">
        <v>1039</v>
      </c>
      <c r="K821">
        <v>76384.800000000003</v>
      </c>
    </row>
    <row r="822" spans="1:11" x14ac:dyDescent="0.25">
      <c r="A822" t="s">
        <v>830</v>
      </c>
      <c r="B822" s="1">
        <v>44971</v>
      </c>
      <c r="C822" t="s">
        <v>1013</v>
      </c>
      <c r="D822" t="s">
        <v>1017</v>
      </c>
      <c r="E822" t="s">
        <v>1030</v>
      </c>
      <c r="F822" t="s">
        <v>1034</v>
      </c>
      <c r="G822">
        <v>8</v>
      </c>
      <c r="H822">
        <v>43406</v>
      </c>
      <c r="I822">
        <v>5</v>
      </c>
      <c r="J822" t="s">
        <v>1036</v>
      </c>
      <c r="K822">
        <v>329885.59999999998</v>
      </c>
    </row>
    <row r="823" spans="1:11" x14ac:dyDescent="0.25">
      <c r="A823" t="s">
        <v>831</v>
      </c>
      <c r="B823" s="1">
        <v>45069</v>
      </c>
      <c r="C823" t="s">
        <v>1012</v>
      </c>
      <c r="D823" t="s">
        <v>1014</v>
      </c>
      <c r="E823" t="s">
        <v>1022</v>
      </c>
      <c r="F823" t="s">
        <v>1032</v>
      </c>
      <c r="G823">
        <v>3</v>
      </c>
      <c r="H823">
        <v>6941</v>
      </c>
      <c r="I823">
        <v>20</v>
      </c>
      <c r="J823" t="s">
        <v>1039</v>
      </c>
      <c r="K823">
        <v>16658.400000000001</v>
      </c>
    </row>
    <row r="824" spans="1:11" x14ac:dyDescent="0.25">
      <c r="A824" t="s">
        <v>832</v>
      </c>
      <c r="B824" s="1">
        <v>45157</v>
      </c>
      <c r="C824" t="s">
        <v>1011</v>
      </c>
      <c r="D824" t="s">
        <v>1020</v>
      </c>
      <c r="E824" t="s">
        <v>1029</v>
      </c>
      <c r="F824" t="s">
        <v>1032</v>
      </c>
      <c r="G824">
        <v>9</v>
      </c>
      <c r="H824">
        <v>24943</v>
      </c>
      <c r="I824">
        <v>10</v>
      </c>
      <c r="J824" t="s">
        <v>1039</v>
      </c>
      <c r="K824">
        <v>202038.3</v>
      </c>
    </row>
    <row r="825" spans="1:11" x14ac:dyDescent="0.25">
      <c r="A825" t="s">
        <v>833</v>
      </c>
      <c r="B825" s="1">
        <v>45051</v>
      </c>
      <c r="C825" t="s">
        <v>1011</v>
      </c>
      <c r="D825" t="s">
        <v>1015</v>
      </c>
      <c r="E825" t="s">
        <v>1025</v>
      </c>
      <c r="F825" t="s">
        <v>1033</v>
      </c>
      <c r="G825">
        <v>10</v>
      </c>
      <c r="H825">
        <v>36037</v>
      </c>
      <c r="I825">
        <v>10</v>
      </c>
      <c r="J825" t="s">
        <v>1037</v>
      </c>
      <c r="K825">
        <v>324333</v>
      </c>
    </row>
    <row r="826" spans="1:11" x14ac:dyDescent="0.25">
      <c r="A826" t="s">
        <v>834</v>
      </c>
      <c r="B826" s="1">
        <v>45164</v>
      </c>
      <c r="C826" t="s">
        <v>1012</v>
      </c>
      <c r="D826" t="s">
        <v>1017</v>
      </c>
      <c r="E826" t="s">
        <v>1024</v>
      </c>
      <c r="F826" t="s">
        <v>1034</v>
      </c>
      <c r="G826">
        <v>8</v>
      </c>
      <c r="H826">
        <v>23286</v>
      </c>
      <c r="I826">
        <v>15</v>
      </c>
      <c r="J826" t="s">
        <v>1038</v>
      </c>
      <c r="K826">
        <v>158344.79999999999</v>
      </c>
    </row>
    <row r="827" spans="1:11" x14ac:dyDescent="0.25">
      <c r="A827" t="s">
        <v>835</v>
      </c>
      <c r="B827" s="1">
        <v>45218</v>
      </c>
      <c r="C827" t="s">
        <v>1010</v>
      </c>
      <c r="D827" t="s">
        <v>1017</v>
      </c>
      <c r="E827" t="s">
        <v>1026</v>
      </c>
      <c r="F827" t="s">
        <v>1032</v>
      </c>
      <c r="G827">
        <v>6</v>
      </c>
      <c r="H827">
        <v>6272</v>
      </c>
      <c r="I827">
        <v>5</v>
      </c>
      <c r="J827" t="s">
        <v>1039</v>
      </c>
      <c r="K827">
        <v>35750.400000000001</v>
      </c>
    </row>
    <row r="828" spans="1:11" x14ac:dyDescent="0.25">
      <c r="A828" t="s">
        <v>836</v>
      </c>
      <c r="B828" s="1">
        <v>45239</v>
      </c>
      <c r="C828" t="s">
        <v>1010</v>
      </c>
      <c r="D828" t="s">
        <v>1014</v>
      </c>
      <c r="E828" t="s">
        <v>1028</v>
      </c>
      <c r="F828" t="s">
        <v>1032</v>
      </c>
      <c r="G828">
        <v>3</v>
      </c>
      <c r="H828">
        <v>31122</v>
      </c>
      <c r="I828">
        <v>15</v>
      </c>
      <c r="J828" t="s">
        <v>1036</v>
      </c>
      <c r="K828">
        <v>79361.099999999991</v>
      </c>
    </row>
    <row r="829" spans="1:11" x14ac:dyDescent="0.25">
      <c r="A829" t="s">
        <v>837</v>
      </c>
      <c r="B829" s="1">
        <v>45269</v>
      </c>
      <c r="C829" t="s">
        <v>1011</v>
      </c>
      <c r="D829" t="s">
        <v>1018</v>
      </c>
      <c r="E829" t="s">
        <v>1025</v>
      </c>
      <c r="F829" t="s">
        <v>1032</v>
      </c>
      <c r="G829">
        <v>7</v>
      </c>
      <c r="H829">
        <v>20002</v>
      </c>
      <c r="I829">
        <v>0</v>
      </c>
      <c r="J829" t="s">
        <v>1036</v>
      </c>
      <c r="K829">
        <v>140014</v>
      </c>
    </row>
    <row r="830" spans="1:11" x14ac:dyDescent="0.25">
      <c r="A830" t="s">
        <v>838</v>
      </c>
      <c r="B830" s="1">
        <v>45121</v>
      </c>
      <c r="C830" t="s">
        <v>1013</v>
      </c>
      <c r="D830" t="s">
        <v>1021</v>
      </c>
      <c r="E830" t="s">
        <v>1027</v>
      </c>
      <c r="F830" t="s">
        <v>1033</v>
      </c>
      <c r="G830">
        <v>8</v>
      </c>
      <c r="H830">
        <v>43453</v>
      </c>
      <c r="I830">
        <v>20</v>
      </c>
      <c r="J830" t="s">
        <v>1039</v>
      </c>
      <c r="K830">
        <v>278099.20000000001</v>
      </c>
    </row>
    <row r="831" spans="1:11" x14ac:dyDescent="0.25">
      <c r="A831" t="s">
        <v>839</v>
      </c>
      <c r="B831" s="1">
        <v>45099</v>
      </c>
      <c r="C831" t="s">
        <v>1013</v>
      </c>
      <c r="D831" t="s">
        <v>1015</v>
      </c>
      <c r="E831" t="s">
        <v>1027</v>
      </c>
      <c r="F831" t="s">
        <v>1034</v>
      </c>
      <c r="G831">
        <v>8</v>
      </c>
      <c r="H831">
        <v>14311</v>
      </c>
      <c r="I831">
        <v>5</v>
      </c>
      <c r="J831" t="s">
        <v>1037</v>
      </c>
      <c r="K831">
        <v>108763.6</v>
      </c>
    </row>
    <row r="832" spans="1:11" x14ac:dyDescent="0.25">
      <c r="A832" t="s">
        <v>840</v>
      </c>
      <c r="B832" s="1">
        <v>44941</v>
      </c>
      <c r="C832" t="s">
        <v>1010</v>
      </c>
      <c r="D832" t="s">
        <v>1019</v>
      </c>
      <c r="E832" t="s">
        <v>1030</v>
      </c>
      <c r="F832" t="s">
        <v>1033</v>
      </c>
      <c r="G832">
        <v>3</v>
      </c>
      <c r="H832">
        <v>12574</v>
      </c>
      <c r="I832">
        <v>10</v>
      </c>
      <c r="J832" t="s">
        <v>1036</v>
      </c>
      <c r="K832">
        <v>33949.800000000003</v>
      </c>
    </row>
    <row r="833" spans="1:11" x14ac:dyDescent="0.25">
      <c r="A833" t="s">
        <v>841</v>
      </c>
      <c r="B833" s="1">
        <v>45180</v>
      </c>
      <c r="C833" t="s">
        <v>1012</v>
      </c>
      <c r="D833" t="s">
        <v>1015</v>
      </c>
      <c r="E833" t="s">
        <v>1024</v>
      </c>
      <c r="F833" t="s">
        <v>1032</v>
      </c>
      <c r="G833">
        <v>3</v>
      </c>
      <c r="H833">
        <v>37338</v>
      </c>
      <c r="I833">
        <v>10</v>
      </c>
      <c r="J833" t="s">
        <v>1035</v>
      </c>
      <c r="K833">
        <v>100812.6</v>
      </c>
    </row>
    <row r="834" spans="1:11" x14ac:dyDescent="0.25">
      <c r="A834" t="s">
        <v>842</v>
      </c>
      <c r="B834" s="1">
        <v>45093</v>
      </c>
      <c r="C834" t="s">
        <v>1013</v>
      </c>
      <c r="D834" t="s">
        <v>1019</v>
      </c>
      <c r="E834" t="s">
        <v>1026</v>
      </c>
      <c r="F834" t="s">
        <v>1032</v>
      </c>
      <c r="G834">
        <v>4</v>
      </c>
      <c r="H834">
        <v>3577</v>
      </c>
      <c r="I834">
        <v>0</v>
      </c>
      <c r="J834" t="s">
        <v>1037</v>
      </c>
      <c r="K834">
        <v>14308</v>
      </c>
    </row>
    <row r="835" spans="1:11" x14ac:dyDescent="0.25">
      <c r="A835" t="s">
        <v>843</v>
      </c>
      <c r="B835" s="1">
        <v>45020</v>
      </c>
      <c r="C835" t="s">
        <v>1010</v>
      </c>
      <c r="D835" t="s">
        <v>1020</v>
      </c>
      <c r="E835" t="s">
        <v>1028</v>
      </c>
      <c r="F835" t="s">
        <v>1033</v>
      </c>
      <c r="G835">
        <v>4</v>
      </c>
      <c r="H835">
        <v>26176</v>
      </c>
      <c r="I835">
        <v>10</v>
      </c>
      <c r="J835" t="s">
        <v>1037</v>
      </c>
      <c r="K835">
        <v>94233.600000000006</v>
      </c>
    </row>
    <row r="836" spans="1:11" x14ac:dyDescent="0.25">
      <c r="A836" t="s">
        <v>844</v>
      </c>
      <c r="B836" s="1">
        <v>45176</v>
      </c>
      <c r="C836" t="s">
        <v>1012</v>
      </c>
      <c r="D836" t="s">
        <v>1016</v>
      </c>
      <c r="E836" t="s">
        <v>1027</v>
      </c>
      <c r="F836" t="s">
        <v>1032</v>
      </c>
      <c r="G836">
        <v>1</v>
      </c>
      <c r="H836">
        <v>44301</v>
      </c>
      <c r="I836">
        <v>20</v>
      </c>
      <c r="J836" t="s">
        <v>1039</v>
      </c>
      <c r="K836">
        <v>35440.800000000003</v>
      </c>
    </row>
    <row r="837" spans="1:11" x14ac:dyDescent="0.25">
      <c r="A837" t="s">
        <v>845</v>
      </c>
      <c r="B837" s="1">
        <v>45035</v>
      </c>
      <c r="C837" t="s">
        <v>1011</v>
      </c>
      <c r="D837" t="s">
        <v>1019</v>
      </c>
      <c r="E837" t="s">
        <v>1026</v>
      </c>
      <c r="F837" t="s">
        <v>1033</v>
      </c>
      <c r="G837">
        <v>7</v>
      </c>
      <c r="H837">
        <v>13517</v>
      </c>
      <c r="I837">
        <v>15</v>
      </c>
      <c r="J837" t="s">
        <v>1038</v>
      </c>
      <c r="K837">
        <v>80426.149999999994</v>
      </c>
    </row>
    <row r="838" spans="1:11" x14ac:dyDescent="0.25">
      <c r="A838" t="s">
        <v>846</v>
      </c>
      <c r="B838" s="1">
        <v>45108</v>
      </c>
      <c r="C838" t="s">
        <v>1012</v>
      </c>
      <c r="D838" t="s">
        <v>1020</v>
      </c>
      <c r="E838" t="s">
        <v>1025</v>
      </c>
      <c r="F838" t="s">
        <v>1032</v>
      </c>
      <c r="G838">
        <v>1</v>
      </c>
      <c r="H838">
        <v>20586</v>
      </c>
      <c r="I838">
        <v>5</v>
      </c>
      <c r="J838" t="s">
        <v>1036</v>
      </c>
      <c r="K838">
        <v>19556.7</v>
      </c>
    </row>
    <row r="839" spans="1:11" x14ac:dyDescent="0.25">
      <c r="A839" t="s">
        <v>847</v>
      </c>
      <c r="B839" s="1">
        <v>45059</v>
      </c>
      <c r="C839" t="s">
        <v>1011</v>
      </c>
      <c r="D839" t="s">
        <v>1016</v>
      </c>
      <c r="E839" t="s">
        <v>1026</v>
      </c>
      <c r="F839" t="s">
        <v>1034</v>
      </c>
      <c r="G839">
        <v>5</v>
      </c>
      <c r="H839">
        <v>46605</v>
      </c>
      <c r="I839">
        <v>20</v>
      </c>
      <c r="J839" t="s">
        <v>1039</v>
      </c>
      <c r="K839">
        <v>186420</v>
      </c>
    </row>
    <row r="840" spans="1:11" x14ac:dyDescent="0.25">
      <c r="A840" t="s">
        <v>848</v>
      </c>
      <c r="B840" s="1">
        <v>45101</v>
      </c>
      <c r="C840" t="s">
        <v>1010</v>
      </c>
      <c r="D840" t="s">
        <v>1015</v>
      </c>
      <c r="E840" t="s">
        <v>1026</v>
      </c>
      <c r="F840" t="s">
        <v>1032</v>
      </c>
      <c r="G840">
        <v>7</v>
      </c>
      <c r="H840">
        <v>26565</v>
      </c>
      <c r="I840">
        <v>0</v>
      </c>
      <c r="J840" t="s">
        <v>1039</v>
      </c>
      <c r="K840">
        <v>185955</v>
      </c>
    </row>
    <row r="841" spans="1:11" x14ac:dyDescent="0.25">
      <c r="A841" t="s">
        <v>849</v>
      </c>
      <c r="B841" s="1">
        <v>45070</v>
      </c>
      <c r="C841" t="s">
        <v>1012</v>
      </c>
      <c r="D841" t="s">
        <v>1014</v>
      </c>
      <c r="E841" t="s">
        <v>1031</v>
      </c>
      <c r="F841" t="s">
        <v>1034</v>
      </c>
      <c r="G841">
        <v>4</v>
      </c>
      <c r="H841">
        <v>7997</v>
      </c>
      <c r="I841">
        <v>20</v>
      </c>
      <c r="J841" t="s">
        <v>1035</v>
      </c>
      <c r="K841">
        <v>25590.400000000001</v>
      </c>
    </row>
    <row r="842" spans="1:11" x14ac:dyDescent="0.25">
      <c r="A842" t="s">
        <v>850</v>
      </c>
      <c r="B842" s="1">
        <v>45232</v>
      </c>
      <c r="C842" t="s">
        <v>1010</v>
      </c>
      <c r="D842" t="s">
        <v>1018</v>
      </c>
      <c r="E842" t="s">
        <v>1022</v>
      </c>
      <c r="F842" t="s">
        <v>1033</v>
      </c>
      <c r="G842">
        <v>4</v>
      </c>
      <c r="H842">
        <v>42328</v>
      </c>
      <c r="I842">
        <v>0</v>
      </c>
      <c r="J842" t="s">
        <v>1038</v>
      </c>
      <c r="K842">
        <v>169312</v>
      </c>
    </row>
    <row r="843" spans="1:11" x14ac:dyDescent="0.25">
      <c r="A843" t="s">
        <v>851</v>
      </c>
      <c r="B843" s="1">
        <v>45286</v>
      </c>
      <c r="C843" t="s">
        <v>1011</v>
      </c>
      <c r="D843" t="s">
        <v>1019</v>
      </c>
      <c r="E843" t="s">
        <v>1027</v>
      </c>
      <c r="F843" t="s">
        <v>1033</v>
      </c>
      <c r="G843">
        <v>4</v>
      </c>
      <c r="H843">
        <v>46143</v>
      </c>
      <c r="I843">
        <v>20</v>
      </c>
      <c r="J843" t="s">
        <v>1039</v>
      </c>
      <c r="K843">
        <v>147657.60000000001</v>
      </c>
    </row>
    <row r="844" spans="1:11" x14ac:dyDescent="0.25">
      <c r="A844" t="s">
        <v>852</v>
      </c>
      <c r="B844" s="1">
        <v>45068</v>
      </c>
      <c r="C844" t="s">
        <v>1013</v>
      </c>
      <c r="D844" t="s">
        <v>1021</v>
      </c>
      <c r="E844" t="s">
        <v>1022</v>
      </c>
      <c r="F844" t="s">
        <v>1034</v>
      </c>
      <c r="G844">
        <v>2</v>
      </c>
      <c r="H844">
        <v>24544</v>
      </c>
      <c r="I844">
        <v>10</v>
      </c>
      <c r="J844" t="s">
        <v>1036</v>
      </c>
      <c r="K844">
        <v>44179.199999999997</v>
      </c>
    </row>
    <row r="845" spans="1:11" x14ac:dyDescent="0.25">
      <c r="A845" t="s">
        <v>853</v>
      </c>
      <c r="B845" s="1">
        <v>45211</v>
      </c>
      <c r="C845" t="s">
        <v>1013</v>
      </c>
      <c r="D845" t="s">
        <v>1018</v>
      </c>
      <c r="E845" t="s">
        <v>1025</v>
      </c>
      <c r="F845" t="s">
        <v>1034</v>
      </c>
      <c r="G845">
        <v>3</v>
      </c>
      <c r="H845">
        <v>32883</v>
      </c>
      <c r="I845">
        <v>10</v>
      </c>
      <c r="J845" t="s">
        <v>1038</v>
      </c>
      <c r="K845">
        <v>88784.1</v>
      </c>
    </row>
    <row r="846" spans="1:11" x14ac:dyDescent="0.25">
      <c r="A846" t="s">
        <v>854</v>
      </c>
      <c r="B846" s="1">
        <v>44932</v>
      </c>
      <c r="C846" t="s">
        <v>1011</v>
      </c>
      <c r="D846" t="s">
        <v>1020</v>
      </c>
      <c r="E846" t="s">
        <v>1028</v>
      </c>
      <c r="F846" t="s">
        <v>1034</v>
      </c>
      <c r="G846">
        <v>8</v>
      </c>
      <c r="H846">
        <v>6561</v>
      </c>
      <c r="I846">
        <v>0</v>
      </c>
      <c r="J846" t="s">
        <v>1036</v>
      </c>
      <c r="K846">
        <v>52488</v>
      </c>
    </row>
    <row r="847" spans="1:11" x14ac:dyDescent="0.25">
      <c r="A847" t="s">
        <v>855</v>
      </c>
      <c r="B847" s="1">
        <v>45191</v>
      </c>
      <c r="C847" t="s">
        <v>1013</v>
      </c>
      <c r="D847" t="s">
        <v>1020</v>
      </c>
      <c r="E847" t="s">
        <v>1022</v>
      </c>
      <c r="F847" t="s">
        <v>1033</v>
      </c>
      <c r="G847">
        <v>10</v>
      </c>
      <c r="H847">
        <v>42470</v>
      </c>
      <c r="I847">
        <v>20</v>
      </c>
      <c r="J847" t="s">
        <v>1035</v>
      </c>
      <c r="K847">
        <v>339760</v>
      </c>
    </row>
    <row r="848" spans="1:11" x14ac:dyDescent="0.25">
      <c r="A848" t="s">
        <v>856</v>
      </c>
      <c r="B848" s="1">
        <v>45024</v>
      </c>
      <c r="C848" t="s">
        <v>1013</v>
      </c>
      <c r="D848" t="s">
        <v>1014</v>
      </c>
      <c r="E848" t="s">
        <v>1023</v>
      </c>
      <c r="F848" t="s">
        <v>1034</v>
      </c>
      <c r="G848">
        <v>8</v>
      </c>
      <c r="H848">
        <v>29703</v>
      </c>
      <c r="I848">
        <v>20</v>
      </c>
      <c r="J848" t="s">
        <v>1038</v>
      </c>
      <c r="K848">
        <v>190099.20000000001</v>
      </c>
    </row>
    <row r="849" spans="1:11" x14ac:dyDescent="0.25">
      <c r="A849" t="s">
        <v>857</v>
      </c>
      <c r="B849" s="1">
        <v>44970</v>
      </c>
      <c r="C849" t="s">
        <v>1012</v>
      </c>
      <c r="D849" t="s">
        <v>1021</v>
      </c>
      <c r="E849" t="s">
        <v>1024</v>
      </c>
      <c r="F849" t="s">
        <v>1034</v>
      </c>
      <c r="G849">
        <v>6</v>
      </c>
      <c r="H849">
        <v>49190</v>
      </c>
      <c r="I849">
        <v>15</v>
      </c>
      <c r="J849" t="s">
        <v>1037</v>
      </c>
      <c r="K849">
        <v>250869</v>
      </c>
    </row>
    <row r="850" spans="1:11" x14ac:dyDescent="0.25">
      <c r="A850" t="s">
        <v>858</v>
      </c>
      <c r="B850" s="1">
        <v>45050</v>
      </c>
      <c r="C850" t="s">
        <v>1012</v>
      </c>
      <c r="D850" t="s">
        <v>1017</v>
      </c>
      <c r="E850" t="s">
        <v>1025</v>
      </c>
      <c r="F850" t="s">
        <v>1032</v>
      </c>
      <c r="G850">
        <v>8</v>
      </c>
      <c r="H850">
        <v>13416</v>
      </c>
      <c r="I850">
        <v>15</v>
      </c>
      <c r="J850" t="s">
        <v>1038</v>
      </c>
      <c r="K850">
        <v>91228.800000000003</v>
      </c>
    </row>
    <row r="851" spans="1:11" x14ac:dyDescent="0.25">
      <c r="A851" t="s">
        <v>859</v>
      </c>
      <c r="B851" s="1">
        <v>45135</v>
      </c>
      <c r="C851" t="s">
        <v>1013</v>
      </c>
      <c r="D851" t="s">
        <v>1020</v>
      </c>
      <c r="E851" t="s">
        <v>1030</v>
      </c>
      <c r="F851" t="s">
        <v>1032</v>
      </c>
      <c r="G851">
        <v>4</v>
      </c>
      <c r="H851">
        <v>10171</v>
      </c>
      <c r="I851">
        <v>5</v>
      </c>
      <c r="J851" t="s">
        <v>1036</v>
      </c>
      <c r="K851">
        <v>38649.800000000003</v>
      </c>
    </row>
    <row r="852" spans="1:11" x14ac:dyDescent="0.25">
      <c r="A852" t="s">
        <v>860</v>
      </c>
      <c r="B852" s="1">
        <v>45177</v>
      </c>
      <c r="C852" t="s">
        <v>1012</v>
      </c>
      <c r="D852" t="s">
        <v>1015</v>
      </c>
      <c r="E852" t="s">
        <v>1029</v>
      </c>
      <c r="F852" t="s">
        <v>1034</v>
      </c>
      <c r="G852">
        <v>7</v>
      </c>
      <c r="H852">
        <v>3339</v>
      </c>
      <c r="I852">
        <v>10</v>
      </c>
      <c r="J852" t="s">
        <v>1039</v>
      </c>
      <c r="K852">
        <v>21035.7</v>
      </c>
    </row>
    <row r="853" spans="1:11" x14ac:dyDescent="0.25">
      <c r="A853" t="s">
        <v>861</v>
      </c>
      <c r="B853" s="1">
        <v>45211</v>
      </c>
      <c r="C853" t="s">
        <v>1011</v>
      </c>
      <c r="D853" t="s">
        <v>1021</v>
      </c>
      <c r="E853" t="s">
        <v>1028</v>
      </c>
      <c r="F853" t="s">
        <v>1033</v>
      </c>
      <c r="G853">
        <v>7</v>
      </c>
      <c r="H853">
        <v>13654</v>
      </c>
      <c r="I853">
        <v>0</v>
      </c>
      <c r="J853" t="s">
        <v>1035</v>
      </c>
      <c r="K853">
        <v>95578</v>
      </c>
    </row>
    <row r="854" spans="1:11" x14ac:dyDescent="0.25">
      <c r="A854" t="s">
        <v>862</v>
      </c>
      <c r="B854" s="1">
        <v>45050</v>
      </c>
      <c r="C854" t="s">
        <v>1012</v>
      </c>
      <c r="D854" t="s">
        <v>1017</v>
      </c>
      <c r="E854" t="s">
        <v>1031</v>
      </c>
      <c r="F854" t="s">
        <v>1033</v>
      </c>
      <c r="G854">
        <v>1</v>
      </c>
      <c r="H854">
        <v>2662</v>
      </c>
      <c r="I854">
        <v>10</v>
      </c>
      <c r="J854" t="s">
        <v>1038</v>
      </c>
      <c r="K854">
        <v>2395.8000000000002</v>
      </c>
    </row>
    <row r="855" spans="1:11" x14ac:dyDescent="0.25">
      <c r="A855" t="s">
        <v>863</v>
      </c>
      <c r="B855" s="1">
        <v>45280</v>
      </c>
      <c r="C855" t="s">
        <v>1012</v>
      </c>
      <c r="D855" t="s">
        <v>1014</v>
      </c>
      <c r="E855" t="s">
        <v>1022</v>
      </c>
      <c r="F855" t="s">
        <v>1032</v>
      </c>
      <c r="G855">
        <v>10</v>
      </c>
      <c r="H855">
        <v>48168</v>
      </c>
      <c r="I855">
        <v>20</v>
      </c>
      <c r="J855" t="s">
        <v>1035</v>
      </c>
      <c r="K855">
        <v>385344</v>
      </c>
    </row>
    <row r="856" spans="1:11" x14ac:dyDescent="0.25">
      <c r="A856" t="s">
        <v>864</v>
      </c>
      <c r="B856" s="1">
        <v>45170</v>
      </c>
      <c r="C856" t="s">
        <v>1012</v>
      </c>
      <c r="D856" t="s">
        <v>1014</v>
      </c>
      <c r="E856" t="s">
        <v>1031</v>
      </c>
      <c r="F856" t="s">
        <v>1032</v>
      </c>
      <c r="G856">
        <v>7</v>
      </c>
      <c r="H856">
        <v>39859</v>
      </c>
      <c r="I856">
        <v>10</v>
      </c>
      <c r="J856" t="s">
        <v>1036</v>
      </c>
      <c r="K856">
        <v>251111.7</v>
      </c>
    </row>
    <row r="857" spans="1:11" x14ac:dyDescent="0.25">
      <c r="A857" t="s">
        <v>865</v>
      </c>
      <c r="B857" s="1">
        <v>45257</v>
      </c>
      <c r="C857" t="s">
        <v>1010</v>
      </c>
      <c r="D857" t="s">
        <v>1016</v>
      </c>
      <c r="E857" t="s">
        <v>1023</v>
      </c>
      <c r="F857" t="s">
        <v>1034</v>
      </c>
      <c r="G857">
        <v>6</v>
      </c>
      <c r="H857">
        <v>16629</v>
      </c>
      <c r="I857">
        <v>15</v>
      </c>
      <c r="J857" t="s">
        <v>1036</v>
      </c>
      <c r="K857">
        <v>84807.9</v>
      </c>
    </row>
    <row r="858" spans="1:11" x14ac:dyDescent="0.25">
      <c r="A858" t="s">
        <v>866</v>
      </c>
      <c r="B858" s="1">
        <v>45291</v>
      </c>
      <c r="C858" t="s">
        <v>1011</v>
      </c>
      <c r="D858" t="s">
        <v>1020</v>
      </c>
      <c r="E858" t="s">
        <v>1022</v>
      </c>
      <c r="F858" t="s">
        <v>1034</v>
      </c>
      <c r="G858">
        <v>7</v>
      </c>
      <c r="H858">
        <v>33062</v>
      </c>
      <c r="I858">
        <v>20</v>
      </c>
      <c r="J858" t="s">
        <v>1036</v>
      </c>
      <c r="K858">
        <v>185147.2</v>
      </c>
    </row>
    <row r="859" spans="1:11" x14ac:dyDescent="0.25">
      <c r="A859" t="s">
        <v>867</v>
      </c>
      <c r="B859" s="1">
        <v>45178</v>
      </c>
      <c r="C859" t="s">
        <v>1013</v>
      </c>
      <c r="D859" t="s">
        <v>1018</v>
      </c>
      <c r="E859" t="s">
        <v>1029</v>
      </c>
      <c r="F859" t="s">
        <v>1033</v>
      </c>
      <c r="G859">
        <v>10</v>
      </c>
      <c r="H859">
        <v>26478</v>
      </c>
      <c r="I859">
        <v>10</v>
      </c>
      <c r="J859" t="s">
        <v>1039</v>
      </c>
      <c r="K859">
        <v>238302</v>
      </c>
    </row>
    <row r="860" spans="1:11" x14ac:dyDescent="0.25">
      <c r="A860" t="s">
        <v>868</v>
      </c>
      <c r="B860" s="1">
        <v>45156</v>
      </c>
      <c r="C860" t="s">
        <v>1013</v>
      </c>
      <c r="D860" t="s">
        <v>1015</v>
      </c>
      <c r="E860" t="s">
        <v>1029</v>
      </c>
      <c r="F860" t="s">
        <v>1032</v>
      </c>
      <c r="G860">
        <v>10</v>
      </c>
      <c r="H860">
        <v>5128</v>
      </c>
      <c r="I860">
        <v>5</v>
      </c>
      <c r="J860" t="s">
        <v>1037</v>
      </c>
      <c r="K860">
        <v>48716</v>
      </c>
    </row>
    <row r="861" spans="1:11" x14ac:dyDescent="0.25">
      <c r="A861" t="s">
        <v>869</v>
      </c>
      <c r="B861" s="1">
        <v>44935</v>
      </c>
      <c r="C861" t="s">
        <v>1010</v>
      </c>
      <c r="D861" t="s">
        <v>1017</v>
      </c>
      <c r="E861" t="s">
        <v>1026</v>
      </c>
      <c r="F861" t="s">
        <v>1032</v>
      </c>
      <c r="G861">
        <v>10</v>
      </c>
      <c r="H861">
        <v>36425</v>
      </c>
      <c r="I861">
        <v>15</v>
      </c>
      <c r="J861" t="s">
        <v>1035</v>
      </c>
      <c r="K861">
        <v>309612.5</v>
      </c>
    </row>
    <row r="862" spans="1:11" x14ac:dyDescent="0.25">
      <c r="A862" t="s">
        <v>870</v>
      </c>
      <c r="B862" s="1">
        <v>44974</v>
      </c>
      <c r="C862" t="s">
        <v>1012</v>
      </c>
      <c r="D862" t="s">
        <v>1020</v>
      </c>
      <c r="E862" t="s">
        <v>1026</v>
      </c>
      <c r="F862" t="s">
        <v>1034</v>
      </c>
      <c r="G862">
        <v>9</v>
      </c>
      <c r="H862">
        <v>43166</v>
      </c>
      <c r="I862">
        <v>15</v>
      </c>
      <c r="J862" t="s">
        <v>1037</v>
      </c>
      <c r="K862">
        <v>330219.90000000002</v>
      </c>
    </row>
    <row r="863" spans="1:11" x14ac:dyDescent="0.25">
      <c r="A863" t="s">
        <v>871</v>
      </c>
      <c r="B863" s="1">
        <v>45077</v>
      </c>
      <c r="C863" t="s">
        <v>1011</v>
      </c>
      <c r="D863" t="s">
        <v>1021</v>
      </c>
      <c r="E863" t="s">
        <v>1027</v>
      </c>
      <c r="F863" t="s">
        <v>1034</v>
      </c>
      <c r="G863">
        <v>9</v>
      </c>
      <c r="H863">
        <v>21167</v>
      </c>
      <c r="I863">
        <v>10</v>
      </c>
      <c r="J863" t="s">
        <v>1037</v>
      </c>
      <c r="K863">
        <v>171452.7</v>
      </c>
    </row>
    <row r="864" spans="1:11" x14ac:dyDescent="0.25">
      <c r="A864" t="s">
        <v>872</v>
      </c>
      <c r="B864" s="1">
        <v>45040</v>
      </c>
      <c r="C864" t="s">
        <v>1011</v>
      </c>
      <c r="D864" t="s">
        <v>1018</v>
      </c>
      <c r="E864" t="s">
        <v>1031</v>
      </c>
      <c r="F864" t="s">
        <v>1034</v>
      </c>
      <c r="G864">
        <v>1</v>
      </c>
      <c r="H864">
        <v>33747</v>
      </c>
      <c r="I864">
        <v>20</v>
      </c>
      <c r="J864" t="s">
        <v>1035</v>
      </c>
      <c r="K864">
        <v>26997.599999999999</v>
      </c>
    </row>
    <row r="865" spans="1:11" x14ac:dyDescent="0.25">
      <c r="A865" t="s">
        <v>873</v>
      </c>
      <c r="B865" s="1">
        <v>45134</v>
      </c>
      <c r="C865" t="s">
        <v>1013</v>
      </c>
      <c r="D865" t="s">
        <v>1020</v>
      </c>
      <c r="E865" t="s">
        <v>1030</v>
      </c>
      <c r="F865" t="s">
        <v>1034</v>
      </c>
      <c r="G865">
        <v>9</v>
      </c>
      <c r="H865">
        <v>35992</v>
      </c>
      <c r="I865">
        <v>20</v>
      </c>
      <c r="J865" t="s">
        <v>1036</v>
      </c>
      <c r="K865">
        <v>259142.39999999999</v>
      </c>
    </row>
    <row r="866" spans="1:11" x14ac:dyDescent="0.25">
      <c r="A866" t="s">
        <v>874</v>
      </c>
      <c r="B866" s="1">
        <v>45281</v>
      </c>
      <c r="C866" t="s">
        <v>1010</v>
      </c>
      <c r="D866" t="s">
        <v>1020</v>
      </c>
      <c r="E866" t="s">
        <v>1026</v>
      </c>
      <c r="F866" t="s">
        <v>1032</v>
      </c>
      <c r="G866">
        <v>2</v>
      </c>
      <c r="H866">
        <v>30445</v>
      </c>
      <c r="I866">
        <v>15</v>
      </c>
      <c r="J866" t="s">
        <v>1037</v>
      </c>
      <c r="K866">
        <v>51756.5</v>
      </c>
    </row>
    <row r="867" spans="1:11" x14ac:dyDescent="0.25">
      <c r="A867" t="s">
        <v>875</v>
      </c>
      <c r="B867" s="1">
        <v>45051</v>
      </c>
      <c r="C867" t="s">
        <v>1010</v>
      </c>
      <c r="D867" t="s">
        <v>1020</v>
      </c>
      <c r="E867" t="s">
        <v>1028</v>
      </c>
      <c r="F867" t="s">
        <v>1034</v>
      </c>
      <c r="G867">
        <v>8</v>
      </c>
      <c r="H867">
        <v>2075</v>
      </c>
      <c r="I867">
        <v>20</v>
      </c>
      <c r="J867" t="s">
        <v>1035</v>
      </c>
      <c r="K867">
        <v>13280</v>
      </c>
    </row>
    <row r="868" spans="1:11" x14ac:dyDescent="0.25">
      <c r="A868" t="s">
        <v>876</v>
      </c>
      <c r="B868" s="1">
        <v>45083</v>
      </c>
      <c r="C868" t="s">
        <v>1010</v>
      </c>
      <c r="D868" t="s">
        <v>1016</v>
      </c>
      <c r="E868" t="s">
        <v>1026</v>
      </c>
      <c r="F868" t="s">
        <v>1032</v>
      </c>
      <c r="G868">
        <v>8</v>
      </c>
      <c r="H868">
        <v>3427</v>
      </c>
      <c r="I868">
        <v>5</v>
      </c>
      <c r="J868" t="s">
        <v>1038</v>
      </c>
      <c r="K868">
        <v>26045.200000000001</v>
      </c>
    </row>
    <row r="869" spans="1:11" x14ac:dyDescent="0.25">
      <c r="A869" t="s">
        <v>877</v>
      </c>
      <c r="B869" s="1">
        <v>45266</v>
      </c>
      <c r="C869" t="s">
        <v>1010</v>
      </c>
      <c r="D869" t="s">
        <v>1016</v>
      </c>
      <c r="E869" t="s">
        <v>1026</v>
      </c>
      <c r="F869" t="s">
        <v>1034</v>
      </c>
      <c r="G869">
        <v>1</v>
      </c>
      <c r="H869">
        <v>23235</v>
      </c>
      <c r="I869">
        <v>0</v>
      </c>
      <c r="J869" t="s">
        <v>1037</v>
      </c>
      <c r="K869">
        <v>23235</v>
      </c>
    </row>
    <row r="870" spans="1:11" x14ac:dyDescent="0.25">
      <c r="A870" t="s">
        <v>878</v>
      </c>
      <c r="B870" s="1">
        <v>45224</v>
      </c>
      <c r="C870" t="s">
        <v>1011</v>
      </c>
      <c r="D870" t="s">
        <v>1019</v>
      </c>
      <c r="E870" t="s">
        <v>1025</v>
      </c>
      <c r="F870" t="s">
        <v>1032</v>
      </c>
      <c r="G870">
        <v>4</v>
      </c>
      <c r="H870">
        <v>4673</v>
      </c>
      <c r="I870">
        <v>20</v>
      </c>
      <c r="J870" t="s">
        <v>1036</v>
      </c>
      <c r="K870">
        <v>14953.6</v>
      </c>
    </row>
    <row r="871" spans="1:11" x14ac:dyDescent="0.25">
      <c r="A871" t="s">
        <v>879</v>
      </c>
      <c r="B871" s="1">
        <v>45115</v>
      </c>
      <c r="C871" t="s">
        <v>1012</v>
      </c>
      <c r="D871" t="s">
        <v>1015</v>
      </c>
      <c r="E871" t="s">
        <v>1022</v>
      </c>
      <c r="F871" t="s">
        <v>1033</v>
      </c>
      <c r="G871">
        <v>9</v>
      </c>
      <c r="H871">
        <v>23132</v>
      </c>
      <c r="I871">
        <v>5</v>
      </c>
      <c r="J871" t="s">
        <v>1039</v>
      </c>
      <c r="K871">
        <v>197778.6</v>
      </c>
    </row>
    <row r="872" spans="1:11" x14ac:dyDescent="0.25">
      <c r="A872" t="s">
        <v>880</v>
      </c>
      <c r="B872" s="1">
        <v>45169</v>
      </c>
      <c r="C872" t="s">
        <v>1013</v>
      </c>
      <c r="D872" t="s">
        <v>1018</v>
      </c>
      <c r="E872" t="s">
        <v>1031</v>
      </c>
      <c r="F872" t="s">
        <v>1032</v>
      </c>
      <c r="G872">
        <v>9</v>
      </c>
      <c r="H872">
        <v>48252</v>
      </c>
      <c r="I872">
        <v>20</v>
      </c>
      <c r="J872" t="s">
        <v>1035</v>
      </c>
      <c r="K872">
        <v>347414.4</v>
      </c>
    </row>
    <row r="873" spans="1:11" x14ac:dyDescent="0.25">
      <c r="A873" t="s">
        <v>881</v>
      </c>
      <c r="B873" s="1">
        <v>45210</v>
      </c>
      <c r="C873" t="s">
        <v>1011</v>
      </c>
      <c r="D873" t="s">
        <v>1015</v>
      </c>
      <c r="E873" t="s">
        <v>1025</v>
      </c>
      <c r="F873" t="s">
        <v>1034</v>
      </c>
      <c r="G873">
        <v>7</v>
      </c>
      <c r="H873">
        <v>3805</v>
      </c>
      <c r="I873">
        <v>15</v>
      </c>
      <c r="J873" t="s">
        <v>1037</v>
      </c>
      <c r="K873">
        <v>22639.75</v>
      </c>
    </row>
    <row r="874" spans="1:11" x14ac:dyDescent="0.25">
      <c r="A874" t="s">
        <v>882</v>
      </c>
      <c r="B874" s="1">
        <v>45198</v>
      </c>
      <c r="C874" t="s">
        <v>1010</v>
      </c>
      <c r="D874" t="s">
        <v>1015</v>
      </c>
      <c r="E874" t="s">
        <v>1025</v>
      </c>
      <c r="F874" t="s">
        <v>1032</v>
      </c>
      <c r="G874">
        <v>1</v>
      </c>
      <c r="H874">
        <v>27575</v>
      </c>
      <c r="I874">
        <v>5</v>
      </c>
      <c r="J874" t="s">
        <v>1036</v>
      </c>
      <c r="K874">
        <v>26196.25</v>
      </c>
    </row>
    <row r="875" spans="1:11" x14ac:dyDescent="0.25">
      <c r="A875" t="s">
        <v>883</v>
      </c>
      <c r="B875" s="1">
        <v>45103</v>
      </c>
      <c r="C875" t="s">
        <v>1010</v>
      </c>
      <c r="D875" t="s">
        <v>1020</v>
      </c>
      <c r="E875" t="s">
        <v>1031</v>
      </c>
      <c r="F875" t="s">
        <v>1032</v>
      </c>
      <c r="G875">
        <v>9</v>
      </c>
      <c r="H875">
        <v>8745</v>
      </c>
      <c r="I875">
        <v>15</v>
      </c>
      <c r="J875" t="s">
        <v>1036</v>
      </c>
      <c r="K875">
        <v>66899.25</v>
      </c>
    </row>
    <row r="876" spans="1:11" x14ac:dyDescent="0.25">
      <c r="A876" t="s">
        <v>884</v>
      </c>
      <c r="B876" s="1">
        <v>45144</v>
      </c>
      <c r="C876" t="s">
        <v>1013</v>
      </c>
      <c r="D876" t="s">
        <v>1014</v>
      </c>
      <c r="E876" t="s">
        <v>1029</v>
      </c>
      <c r="F876" t="s">
        <v>1032</v>
      </c>
      <c r="G876">
        <v>7</v>
      </c>
      <c r="H876">
        <v>14872</v>
      </c>
      <c r="I876">
        <v>10</v>
      </c>
      <c r="J876" t="s">
        <v>1035</v>
      </c>
      <c r="K876">
        <v>93693.6</v>
      </c>
    </row>
    <row r="877" spans="1:11" x14ac:dyDescent="0.25">
      <c r="A877" t="s">
        <v>885</v>
      </c>
      <c r="B877" s="1">
        <v>45208</v>
      </c>
      <c r="C877" t="s">
        <v>1012</v>
      </c>
      <c r="D877" t="s">
        <v>1015</v>
      </c>
      <c r="E877" t="s">
        <v>1026</v>
      </c>
      <c r="F877" t="s">
        <v>1033</v>
      </c>
      <c r="G877">
        <v>9</v>
      </c>
      <c r="H877">
        <v>43850</v>
      </c>
      <c r="I877">
        <v>20</v>
      </c>
      <c r="J877" t="s">
        <v>1038</v>
      </c>
      <c r="K877">
        <v>315720</v>
      </c>
    </row>
    <row r="878" spans="1:11" x14ac:dyDescent="0.25">
      <c r="A878" t="s">
        <v>886</v>
      </c>
      <c r="B878" s="1">
        <v>45096</v>
      </c>
      <c r="C878" t="s">
        <v>1012</v>
      </c>
      <c r="D878" t="s">
        <v>1017</v>
      </c>
      <c r="E878" t="s">
        <v>1030</v>
      </c>
      <c r="F878" t="s">
        <v>1033</v>
      </c>
      <c r="G878">
        <v>1</v>
      </c>
      <c r="H878">
        <v>44733</v>
      </c>
      <c r="I878">
        <v>20</v>
      </c>
      <c r="J878" t="s">
        <v>1036</v>
      </c>
      <c r="K878">
        <v>35786.400000000001</v>
      </c>
    </row>
    <row r="879" spans="1:11" x14ac:dyDescent="0.25">
      <c r="A879" t="s">
        <v>887</v>
      </c>
      <c r="B879" s="1">
        <v>45107</v>
      </c>
      <c r="C879" t="s">
        <v>1012</v>
      </c>
      <c r="D879" t="s">
        <v>1016</v>
      </c>
      <c r="E879" t="s">
        <v>1029</v>
      </c>
      <c r="F879" t="s">
        <v>1033</v>
      </c>
      <c r="G879">
        <v>4</v>
      </c>
      <c r="H879">
        <v>35283</v>
      </c>
      <c r="I879">
        <v>15</v>
      </c>
      <c r="J879" t="s">
        <v>1035</v>
      </c>
      <c r="K879">
        <v>119962.2</v>
      </c>
    </row>
    <row r="880" spans="1:11" x14ac:dyDescent="0.25">
      <c r="A880" t="s">
        <v>888</v>
      </c>
      <c r="B880" s="1">
        <v>45286</v>
      </c>
      <c r="C880" t="s">
        <v>1010</v>
      </c>
      <c r="D880" t="s">
        <v>1021</v>
      </c>
      <c r="E880" t="s">
        <v>1025</v>
      </c>
      <c r="F880" t="s">
        <v>1034</v>
      </c>
      <c r="G880">
        <v>5</v>
      </c>
      <c r="H880">
        <v>31039</v>
      </c>
      <c r="I880">
        <v>20</v>
      </c>
      <c r="J880" t="s">
        <v>1037</v>
      </c>
      <c r="K880">
        <v>124156</v>
      </c>
    </row>
    <row r="881" spans="1:11" x14ac:dyDescent="0.25">
      <c r="A881" t="s">
        <v>889</v>
      </c>
      <c r="B881" s="1">
        <v>45159</v>
      </c>
      <c r="C881" t="s">
        <v>1011</v>
      </c>
      <c r="D881" t="s">
        <v>1015</v>
      </c>
      <c r="E881" t="s">
        <v>1023</v>
      </c>
      <c r="F881" t="s">
        <v>1033</v>
      </c>
      <c r="G881">
        <v>8</v>
      </c>
      <c r="H881">
        <v>45438</v>
      </c>
      <c r="I881">
        <v>0</v>
      </c>
      <c r="J881" t="s">
        <v>1038</v>
      </c>
      <c r="K881">
        <v>363504</v>
      </c>
    </row>
    <row r="882" spans="1:11" x14ac:dyDescent="0.25">
      <c r="A882" t="s">
        <v>890</v>
      </c>
      <c r="B882" s="1">
        <v>45065</v>
      </c>
      <c r="C882" t="s">
        <v>1011</v>
      </c>
      <c r="D882" t="s">
        <v>1018</v>
      </c>
      <c r="E882" t="s">
        <v>1023</v>
      </c>
      <c r="F882" t="s">
        <v>1033</v>
      </c>
      <c r="G882">
        <v>7</v>
      </c>
      <c r="H882">
        <v>36164</v>
      </c>
      <c r="I882">
        <v>20</v>
      </c>
      <c r="J882" t="s">
        <v>1035</v>
      </c>
      <c r="K882">
        <v>202518.39999999999</v>
      </c>
    </row>
    <row r="883" spans="1:11" x14ac:dyDescent="0.25">
      <c r="A883" t="s">
        <v>891</v>
      </c>
      <c r="B883" s="1">
        <v>45083</v>
      </c>
      <c r="C883" t="s">
        <v>1012</v>
      </c>
      <c r="D883" t="s">
        <v>1017</v>
      </c>
      <c r="E883" t="s">
        <v>1024</v>
      </c>
      <c r="F883" t="s">
        <v>1034</v>
      </c>
      <c r="G883">
        <v>5</v>
      </c>
      <c r="H883">
        <v>10761</v>
      </c>
      <c r="I883">
        <v>5</v>
      </c>
      <c r="J883" t="s">
        <v>1035</v>
      </c>
      <c r="K883">
        <v>51114.75</v>
      </c>
    </row>
    <row r="884" spans="1:11" x14ac:dyDescent="0.25">
      <c r="A884" t="s">
        <v>892</v>
      </c>
      <c r="B884" s="1">
        <v>45055</v>
      </c>
      <c r="C884" t="s">
        <v>1013</v>
      </c>
      <c r="D884" t="s">
        <v>1021</v>
      </c>
      <c r="E884" t="s">
        <v>1026</v>
      </c>
      <c r="F884" t="s">
        <v>1032</v>
      </c>
      <c r="G884">
        <v>5</v>
      </c>
      <c r="H884">
        <v>49565</v>
      </c>
      <c r="I884">
        <v>10</v>
      </c>
      <c r="J884" t="s">
        <v>1038</v>
      </c>
      <c r="K884">
        <v>223042.5</v>
      </c>
    </row>
    <row r="885" spans="1:11" x14ac:dyDescent="0.25">
      <c r="A885" t="s">
        <v>893</v>
      </c>
      <c r="B885" s="1">
        <v>45045</v>
      </c>
      <c r="C885" t="s">
        <v>1012</v>
      </c>
      <c r="D885" t="s">
        <v>1020</v>
      </c>
      <c r="E885" t="s">
        <v>1026</v>
      </c>
      <c r="F885" t="s">
        <v>1034</v>
      </c>
      <c r="G885">
        <v>8</v>
      </c>
      <c r="H885">
        <v>38968</v>
      </c>
      <c r="I885">
        <v>15</v>
      </c>
      <c r="J885" t="s">
        <v>1036</v>
      </c>
      <c r="K885">
        <v>264982.40000000002</v>
      </c>
    </row>
    <row r="886" spans="1:11" x14ac:dyDescent="0.25">
      <c r="A886" t="s">
        <v>894</v>
      </c>
      <c r="B886" s="1">
        <v>44988</v>
      </c>
      <c r="C886" t="s">
        <v>1012</v>
      </c>
      <c r="D886" t="s">
        <v>1020</v>
      </c>
      <c r="E886" t="s">
        <v>1029</v>
      </c>
      <c r="F886" t="s">
        <v>1032</v>
      </c>
      <c r="G886">
        <v>3</v>
      </c>
      <c r="H886">
        <v>16268</v>
      </c>
      <c r="I886">
        <v>5</v>
      </c>
      <c r="J886" t="s">
        <v>1036</v>
      </c>
      <c r="K886">
        <v>46363.8</v>
      </c>
    </row>
    <row r="887" spans="1:11" x14ac:dyDescent="0.25">
      <c r="A887" t="s">
        <v>895</v>
      </c>
      <c r="B887" s="1">
        <v>45025</v>
      </c>
      <c r="C887" t="s">
        <v>1013</v>
      </c>
      <c r="D887" t="s">
        <v>1015</v>
      </c>
      <c r="E887" t="s">
        <v>1029</v>
      </c>
      <c r="F887" t="s">
        <v>1034</v>
      </c>
      <c r="G887">
        <v>7</v>
      </c>
      <c r="H887">
        <v>5720</v>
      </c>
      <c r="I887">
        <v>5</v>
      </c>
      <c r="J887" t="s">
        <v>1037</v>
      </c>
      <c r="K887">
        <v>38038</v>
      </c>
    </row>
    <row r="888" spans="1:11" x14ac:dyDescent="0.25">
      <c r="A888" t="s">
        <v>896</v>
      </c>
      <c r="B888" s="1">
        <v>45088</v>
      </c>
      <c r="C888" t="s">
        <v>1012</v>
      </c>
      <c r="D888" t="s">
        <v>1020</v>
      </c>
      <c r="E888" t="s">
        <v>1030</v>
      </c>
      <c r="F888" t="s">
        <v>1034</v>
      </c>
      <c r="G888">
        <v>5</v>
      </c>
      <c r="H888">
        <v>3416</v>
      </c>
      <c r="I888">
        <v>5</v>
      </c>
      <c r="J888" t="s">
        <v>1037</v>
      </c>
      <c r="K888">
        <v>16226</v>
      </c>
    </row>
    <row r="889" spans="1:11" x14ac:dyDescent="0.25">
      <c r="A889" t="s">
        <v>897</v>
      </c>
      <c r="B889" s="1">
        <v>44988</v>
      </c>
      <c r="C889" t="s">
        <v>1013</v>
      </c>
      <c r="D889" t="s">
        <v>1018</v>
      </c>
      <c r="E889" t="s">
        <v>1030</v>
      </c>
      <c r="F889" t="s">
        <v>1032</v>
      </c>
      <c r="G889">
        <v>10</v>
      </c>
      <c r="H889">
        <v>49199</v>
      </c>
      <c r="I889">
        <v>10</v>
      </c>
      <c r="J889" t="s">
        <v>1039</v>
      </c>
      <c r="K889">
        <v>442791</v>
      </c>
    </row>
    <row r="890" spans="1:11" x14ac:dyDescent="0.25">
      <c r="A890" t="s">
        <v>898</v>
      </c>
      <c r="B890" s="1">
        <v>45201</v>
      </c>
      <c r="C890" t="s">
        <v>1013</v>
      </c>
      <c r="D890" t="s">
        <v>1016</v>
      </c>
      <c r="E890" t="s">
        <v>1023</v>
      </c>
      <c r="F890" t="s">
        <v>1032</v>
      </c>
      <c r="G890">
        <v>1</v>
      </c>
      <c r="H890">
        <v>10279</v>
      </c>
      <c r="I890">
        <v>15</v>
      </c>
      <c r="J890" t="s">
        <v>1039</v>
      </c>
      <c r="K890">
        <v>8737.15</v>
      </c>
    </row>
    <row r="891" spans="1:11" x14ac:dyDescent="0.25">
      <c r="A891" t="s">
        <v>899</v>
      </c>
      <c r="B891" s="1">
        <v>45280</v>
      </c>
      <c r="C891" t="s">
        <v>1011</v>
      </c>
      <c r="D891" t="s">
        <v>1018</v>
      </c>
      <c r="E891" t="s">
        <v>1023</v>
      </c>
      <c r="F891" t="s">
        <v>1034</v>
      </c>
      <c r="G891">
        <v>9</v>
      </c>
      <c r="H891">
        <v>33040</v>
      </c>
      <c r="I891">
        <v>15</v>
      </c>
      <c r="J891" t="s">
        <v>1037</v>
      </c>
      <c r="K891">
        <v>252756</v>
      </c>
    </row>
    <row r="892" spans="1:11" x14ac:dyDescent="0.25">
      <c r="A892" t="s">
        <v>900</v>
      </c>
      <c r="B892" s="1">
        <v>45021</v>
      </c>
      <c r="C892" t="s">
        <v>1013</v>
      </c>
      <c r="D892" t="s">
        <v>1016</v>
      </c>
      <c r="E892" t="s">
        <v>1031</v>
      </c>
      <c r="F892" t="s">
        <v>1033</v>
      </c>
      <c r="G892">
        <v>3</v>
      </c>
      <c r="H892">
        <v>43849</v>
      </c>
      <c r="I892">
        <v>10</v>
      </c>
      <c r="J892" t="s">
        <v>1038</v>
      </c>
      <c r="K892">
        <v>118392.3</v>
      </c>
    </row>
    <row r="893" spans="1:11" x14ac:dyDescent="0.25">
      <c r="A893" t="s">
        <v>901</v>
      </c>
      <c r="B893" s="1">
        <v>45025</v>
      </c>
      <c r="C893" t="s">
        <v>1012</v>
      </c>
      <c r="D893" t="s">
        <v>1015</v>
      </c>
      <c r="E893" t="s">
        <v>1027</v>
      </c>
      <c r="F893" t="s">
        <v>1034</v>
      </c>
      <c r="G893">
        <v>8</v>
      </c>
      <c r="H893">
        <v>2249</v>
      </c>
      <c r="I893">
        <v>0</v>
      </c>
      <c r="J893" t="s">
        <v>1039</v>
      </c>
      <c r="K893">
        <v>17992</v>
      </c>
    </row>
    <row r="894" spans="1:11" x14ac:dyDescent="0.25">
      <c r="A894" t="s">
        <v>902</v>
      </c>
      <c r="B894" s="1">
        <v>45037</v>
      </c>
      <c r="C894" t="s">
        <v>1013</v>
      </c>
      <c r="D894" t="s">
        <v>1021</v>
      </c>
      <c r="E894" t="s">
        <v>1025</v>
      </c>
      <c r="F894" t="s">
        <v>1034</v>
      </c>
      <c r="G894">
        <v>8</v>
      </c>
      <c r="H894">
        <v>31881</v>
      </c>
      <c r="I894">
        <v>5</v>
      </c>
      <c r="J894" t="s">
        <v>1039</v>
      </c>
      <c r="K894">
        <v>242295.6</v>
      </c>
    </row>
    <row r="895" spans="1:11" x14ac:dyDescent="0.25">
      <c r="A895" t="s">
        <v>903</v>
      </c>
      <c r="B895" s="1">
        <v>45174</v>
      </c>
      <c r="C895" t="s">
        <v>1012</v>
      </c>
      <c r="D895" t="s">
        <v>1019</v>
      </c>
      <c r="E895" t="s">
        <v>1026</v>
      </c>
      <c r="F895" t="s">
        <v>1034</v>
      </c>
      <c r="G895">
        <v>2</v>
      </c>
      <c r="H895">
        <v>41525</v>
      </c>
      <c r="I895">
        <v>15</v>
      </c>
      <c r="J895" t="s">
        <v>1038</v>
      </c>
      <c r="K895">
        <v>70592.5</v>
      </c>
    </row>
    <row r="896" spans="1:11" x14ac:dyDescent="0.25">
      <c r="A896" t="s">
        <v>904</v>
      </c>
      <c r="B896" s="1">
        <v>45068</v>
      </c>
      <c r="C896" t="s">
        <v>1013</v>
      </c>
      <c r="D896" t="s">
        <v>1020</v>
      </c>
      <c r="E896" t="s">
        <v>1023</v>
      </c>
      <c r="F896" t="s">
        <v>1033</v>
      </c>
      <c r="G896">
        <v>9</v>
      </c>
      <c r="H896">
        <v>4001</v>
      </c>
      <c r="I896">
        <v>10</v>
      </c>
      <c r="J896" t="s">
        <v>1036</v>
      </c>
      <c r="K896">
        <v>32408.1</v>
      </c>
    </row>
    <row r="897" spans="1:11" x14ac:dyDescent="0.25">
      <c r="A897" t="s">
        <v>905</v>
      </c>
      <c r="B897" s="1">
        <v>45228</v>
      </c>
      <c r="C897" t="s">
        <v>1011</v>
      </c>
      <c r="D897" t="s">
        <v>1021</v>
      </c>
      <c r="E897" t="s">
        <v>1023</v>
      </c>
      <c r="F897" t="s">
        <v>1033</v>
      </c>
      <c r="G897">
        <v>2</v>
      </c>
      <c r="H897">
        <v>16904</v>
      </c>
      <c r="I897">
        <v>10</v>
      </c>
      <c r="J897" t="s">
        <v>1035</v>
      </c>
      <c r="K897">
        <v>30427.200000000001</v>
      </c>
    </row>
    <row r="898" spans="1:11" x14ac:dyDescent="0.25">
      <c r="A898" t="s">
        <v>906</v>
      </c>
      <c r="B898" s="1">
        <v>45195</v>
      </c>
      <c r="C898" t="s">
        <v>1012</v>
      </c>
      <c r="D898" t="s">
        <v>1019</v>
      </c>
      <c r="E898" t="s">
        <v>1030</v>
      </c>
      <c r="F898" t="s">
        <v>1033</v>
      </c>
      <c r="G898">
        <v>3</v>
      </c>
      <c r="H898">
        <v>46960</v>
      </c>
      <c r="I898">
        <v>5</v>
      </c>
      <c r="J898" t="s">
        <v>1036</v>
      </c>
      <c r="K898">
        <v>133836</v>
      </c>
    </row>
    <row r="899" spans="1:11" x14ac:dyDescent="0.25">
      <c r="A899" t="s">
        <v>907</v>
      </c>
      <c r="B899" s="1">
        <v>45232</v>
      </c>
      <c r="C899" t="s">
        <v>1012</v>
      </c>
      <c r="D899" t="s">
        <v>1014</v>
      </c>
      <c r="E899" t="s">
        <v>1026</v>
      </c>
      <c r="F899" t="s">
        <v>1032</v>
      </c>
      <c r="G899">
        <v>10</v>
      </c>
      <c r="H899">
        <v>43518</v>
      </c>
      <c r="I899">
        <v>10</v>
      </c>
      <c r="J899" t="s">
        <v>1035</v>
      </c>
      <c r="K899">
        <v>391662</v>
      </c>
    </row>
    <row r="900" spans="1:11" x14ac:dyDescent="0.25">
      <c r="A900" t="s">
        <v>908</v>
      </c>
      <c r="B900" s="1">
        <v>45071</v>
      </c>
      <c r="C900" t="s">
        <v>1012</v>
      </c>
      <c r="D900" t="s">
        <v>1019</v>
      </c>
      <c r="E900" t="s">
        <v>1024</v>
      </c>
      <c r="F900" t="s">
        <v>1034</v>
      </c>
      <c r="G900">
        <v>9</v>
      </c>
      <c r="H900">
        <v>9554</v>
      </c>
      <c r="I900">
        <v>20</v>
      </c>
      <c r="J900" t="s">
        <v>1038</v>
      </c>
      <c r="K900">
        <v>68788.800000000003</v>
      </c>
    </row>
    <row r="901" spans="1:11" x14ac:dyDescent="0.25">
      <c r="A901" t="s">
        <v>909</v>
      </c>
      <c r="B901" s="1">
        <v>44978</v>
      </c>
      <c r="C901" t="s">
        <v>1013</v>
      </c>
      <c r="D901" t="s">
        <v>1021</v>
      </c>
      <c r="E901" t="s">
        <v>1024</v>
      </c>
      <c r="F901" t="s">
        <v>1032</v>
      </c>
      <c r="G901">
        <v>3</v>
      </c>
      <c r="H901">
        <v>1941</v>
      </c>
      <c r="I901">
        <v>5</v>
      </c>
      <c r="J901" t="s">
        <v>1039</v>
      </c>
      <c r="K901">
        <v>5531.8499999999995</v>
      </c>
    </row>
    <row r="902" spans="1:11" x14ac:dyDescent="0.25">
      <c r="A902" t="s">
        <v>910</v>
      </c>
      <c r="B902" s="1">
        <v>45026</v>
      </c>
      <c r="C902" t="s">
        <v>1011</v>
      </c>
      <c r="D902" t="s">
        <v>1021</v>
      </c>
      <c r="E902" t="s">
        <v>1031</v>
      </c>
      <c r="F902" t="s">
        <v>1033</v>
      </c>
      <c r="G902">
        <v>7</v>
      </c>
      <c r="H902">
        <v>12288</v>
      </c>
      <c r="I902">
        <v>15</v>
      </c>
      <c r="J902" t="s">
        <v>1038</v>
      </c>
      <c r="K902">
        <v>73113.599999999991</v>
      </c>
    </row>
    <row r="903" spans="1:11" x14ac:dyDescent="0.25">
      <c r="A903" t="s">
        <v>911</v>
      </c>
      <c r="B903" s="1">
        <v>45078</v>
      </c>
      <c r="C903" t="s">
        <v>1011</v>
      </c>
      <c r="D903" t="s">
        <v>1018</v>
      </c>
      <c r="E903" t="s">
        <v>1025</v>
      </c>
      <c r="F903" t="s">
        <v>1033</v>
      </c>
      <c r="G903">
        <v>7</v>
      </c>
      <c r="H903">
        <v>42462</v>
      </c>
      <c r="I903">
        <v>5</v>
      </c>
      <c r="J903" t="s">
        <v>1036</v>
      </c>
      <c r="K903">
        <v>282372.3</v>
      </c>
    </row>
    <row r="904" spans="1:11" x14ac:dyDescent="0.25">
      <c r="A904" t="s">
        <v>912</v>
      </c>
      <c r="B904" s="1">
        <v>45043</v>
      </c>
      <c r="C904" t="s">
        <v>1011</v>
      </c>
      <c r="D904" t="s">
        <v>1019</v>
      </c>
      <c r="E904" t="s">
        <v>1024</v>
      </c>
      <c r="F904" t="s">
        <v>1034</v>
      </c>
      <c r="G904">
        <v>6</v>
      </c>
      <c r="H904">
        <v>4274</v>
      </c>
      <c r="I904">
        <v>0</v>
      </c>
      <c r="J904" t="s">
        <v>1038</v>
      </c>
      <c r="K904">
        <v>25644</v>
      </c>
    </row>
    <row r="905" spans="1:11" x14ac:dyDescent="0.25">
      <c r="A905" t="s">
        <v>913</v>
      </c>
      <c r="B905" s="1">
        <v>45111</v>
      </c>
      <c r="C905" t="s">
        <v>1011</v>
      </c>
      <c r="D905" t="s">
        <v>1014</v>
      </c>
      <c r="E905" t="s">
        <v>1031</v>
      </c>
      <c r="F905" t="s">
        <v>1032</v>
      </c>
      <c r="G905">
        <v>8</v>
      </c>
      <c r="H905">
        <v>21141</v>
      </c>
      <c r="I905">
        <v>5</v>
      </c>
      <c r="J905" t="s">
        <v>1036</v>
      </c>
      <c r="K905">
        <v>160671.6</v>
      </c>
    </row>
    <row r="906" spans="1:11" x14ac:dyDescent="0.25">
      <c r="A906" t="s">
        <v>914</v>
      </c>
      <c r="B906" s="1">
        <v>45018</v>
      </c>
      <c r="C906" t="s">
        <v>1013</v>
      </c>
      <c r="D906" t="s">
        <v>1021</v>
      </c>
      <c r="E906" t="s">
        <v>1024</v>
      </c>
      <c r="F906" t="s">
        <v>1033</v>
      </c>
      <c r="G906">
        <v>1</v>
      </c>
      <c r="H906">
        <v>7376</v>
      </c>
      <c r="I906">
        <v>5</v>
      </c>
      <c r="J906" t="s">
        <v>1038</v>
      </c>
      <c r="K906">
        <v>7007.2</v>
      </c>
    </row>
    <row r="907" spans="1:11" x14ac:dyDescent="0.25">
      <c r="A907" t="s">
        <v>915</v>
      </c>
      <c r="B907" s="1">
        <v>45081</v>
      </c>
      <c r="C907" t="s">
        <v>1012</v>
      </c>
      <c r="D907" t="s">
        <v>1017</v>
      </c>
      <c r="E907" t="s">
        <v>1030</v>
      </c>
      <c r="F907" t="s">
        <v>1032</v>
      </c>
      <c r="G907">
        <v>3</v>
      </c>
      <c r="H907">
        <v>30896</v>
      </c>
      <c r="I907">
        <v>0</v>
      </c>
      <c r="J907" t="s">
        <v>1037</v>
      </c>
      <c r="K907">
        <v>92688</v>
      </c>
    </row>
    <row r="908" spans="1:11" x14ac:dyDescent="0.25">
      <c r="A908" t="s">
        <v>916</v>
      </c>
      <c r="B908" s="1">
        <v>44934</v>
      </c>
      <c r="C908" t="s">
        <v>1010</v>
      </c>
      <c r="D908" t="s">
        <v>1018</v>
      </c>
      <c r="E908" t="s">
        <v>1026</v>
      </c>
      <c r="F908" t="s">
        <v>1033</v>
      </c>
      <c r="G908">
        <v>8</v>
      </c>
      <c r="H908">
        <v>41057</v>
      </c>
      <c r="I908">
        <v>5</v>
      </c>
      <c r="J908" t="s">
        <v>1036</v>
      </c>
      <c r="K908">
        <v>312033.2</v>
      </c>
    </row>
    <row r="909" spans="1:11" x14ac:dyDescent="0.25">
      <c r="A909" t="s">
        <v>917</v>
      </c>
      <c r="B909" s="1">
        <v>45289</v>
      </c>
      <c r="C909" t="s">
        <v>1011</v>
      </c>
      <c r="D909" t="s">
        <v>1020</v>
      </c>
      <c r="E909" t="s">
        <v>1030</v>
      </c>
      <c r="F909" t="s">
        <v>1034</v>
      </c>
      <c r="G909">
        <v>10</v>
      </c>
      <c r="H909">
        <v>12186</v>
      </c>
      <c r="I909">
        <v>10</v>
      </c>
      <c r="J909" t="s">
        <v>1035</v>
      </c>
      <c r="K909">
        <v>109674</v>
      </c>
    </row>
    <row r="910" spans="1:11" x14ac:dyDescent="0.25">
      <c r="A910" t="s">
        <v>918</v>
      </c>
      <c r="B910" s="1">
        <v>45200</v>
      </c>
      <c r="C910" t="s">
        <v>1010</v>
      </c>
      <c r="D910" t="s">
        <v>1021</v>
      </c>
      <c r="E910" t="s">
        <v>1029</v>
      </c>
      <c r="F910" t="s">
        <v>1032</v>
      </c>
      <c r="G910">
        <v>4</v>
      </c>
      <c r="H910">
        <v>39734</v>
      </c>
      <c r="I910">
        <v>15</v>
      </c>
      <c r="J910" t="s">
        <v>1039</v>
      </c>
      <c r="K910">
        <v>135095.6</v>
      </c>
    </row>
    <row r="911" spans="1:11" x14ac:dyDescent="0.25">
      <c r="A911" t="s">
        <v>919</v>
      </c>
      <c r="B911" s="1">
        <v>44991</v>
      </c>
      <c r="C911" t="s">
        <v>1013</v>
      </c>
      <c r="D911" t="s">
        <v>1017</v>
      </c>
      <c r="E911" t="s">
        <v>1030</v>
      </c>
      <c r="F911" t="s">
        <v>1034</v>
      </c>
      <c r="G911">
        <v>8</v>
      </c>
      <c r="H911">
        <v>5191</v>
      </c>
      <c r="I911">
        <v>15</v>
      </c>
      <c r="J911" t="s">
        <v>1039</v>
      </c>
      <c r="K911">
        <v>35298.800000000003</v>
      </c>
    </row>
    <row r="912" spans="1:11" x14ac:dyDescent="0.25">
      <c r="A912" t="s">
        <v>920</v>
      </c>
      <c r="B912" s="1">
        <v>45067</v>
      </c>
      <c r="C912" t="s">
        <v>1013</v>
      </c>
      <c r="D912" t="s">
        <v>1020</v>
      </c>
      <c r="E912" t="s">
        <v>1026</v>
      </c>
      <c r="F912" t="s">
        <v>1032</v>
      </c>
      <c r="G912">
        <v>2</v>
      </c>
      <c r="H912">
        <v>7968</v>
      </c>
      <c r="I912">
        <v>20</v>
      </c>
      <c r="J912" t="s">
        <v>1036</v>
      </c>
      <c r="K912">
        <v>12748.8</v>
      </c>
    </row>
    <row r="913" spans="1:11" x14ac:dyDescent="0.25">
      <c r="A913" t="s">
        <v>921</v>
      </c>
      <c r="B913" s="1">
        <v>44950</v>
      </c>
      <c r="C913" t="s">
        <v>1010</v>
      </c>
      <c r="D913" t="s">
        <v>1014</v>
      </c>
      <c r="E913" t="s">
        <v>1024</v>
      </c>
      <c r="F913" t="s">
        <v>1034</v>
      </c>
      <c r="G913">
        <v>5</v>
      </c>
      <c r="H913">
        <v>8482</v>
      </c>
      <c r="I913">
        <v>15</v>
      </c>
      <c r="J913" t="s">
        <v>1037</v>
      </c>
      <c r="K913">
        <v>36048.5</v>
      </c>
    </row>
    <row r="914" spans="1:11" x14ac:dyDescent="0.25">
      <c r="A914" t="s">
        <v>922</v>
      </c>
      <c r="B914" s="1">
        <v>44954</v>
      </c>
      <c r="C914" t="s">
        <v>1012</v>
      </c>
      <c r="D914" t="s">
        <v>1016</v>
      </c>
      <c r="E914" t="s">
        <v>1027</v>
      </c>
      <c r="F914" t="s">
        <v>1033</v>
      </c>
      <c r="G914">
        <v>6</v>
      </c>
      <c r="H914">
        <v>33580</v>
      </c>
      <c r="I914">
        <v>15</v>
      </c>
      <c r="J914" t="s">
        <v>1039</v>
      </c>
      <c r="K914">
        <v>171258</v>
      </c>
    </row>
    <row r="915" spans="1:11" x14ac:dyDescent="0.25">
      <c r="A915" t="s">
        <v>923</v>
      </c>
      <c r="B915" s="1">
        <v>45210</v>
      </c>
      <c r="C915" t="s">
        <v>1010</v>
      </c>
      <c r="D915" t="s">
        <v>1016</v>
      </c>
      <c r="E915" t="s">
        <v>1031</v>
      </c>
      <c r="F915" t="s">
        <v>1033</v>
      </c>
      <c r="G915">
        <v>3</v>
      </c>
      <c r="H915">
        <v>39992</v>
      </c>
      <c r="I915">
        <v>0</v>
      </c>
      <c r="J915" t="s">
        <v>1037</v>
      </c>
      <c r="K915">
        <v>119976</v>
      </c>
    </row>
    <row r="916" spans="1:11" x14ac:dyDescent="0.25">
      <c r="A916" t="s">
        <v>924</v>
      </c>
      <c r="B916" s="1">
        <v>45076</v>
      </c>
      <c r="C916" t="s">
        <v>1013</v>
      </c>
      <c r="D916" t="s">
        <v>1015</v>
      </c>
      <c r="E916" t="s">
        <v>1027</v>
      </c>
      <c r="F916" t="s">
        <v>1032</v>
      </c>
      <c r="G916">
        <v>2</v>
      </c>
      <c r="H916">
        <v>41345</v>
      </c>
      <c r="I916">
        <v>5</v>
      </c>
      <c r="J916" t="s">
        <v>1035</v>
      </c>
      <c r="K916">
        <v>78555.5</v>
      </c>
    </row>
    <row r="917" spans="1:11" x14ac:dyDescent="0.25">
      <c r="A917" t="s">
        <v>925</v>
      </c>
      <c r="B917" s="1">
        <v>45284</v>
      </c>
      <c r="C917" t="s">
        <v>1010</v>
      </c>
      <c r="D917" t="s">
        <v>1018</v>
      </c>
      <c r="E917" t="s">
        <v>1031</v>
      </c>
      <c r="F917" t="s">
        <v>1034</v>
      </c>
      <c r="G917">
        <v>2</v>
      </c>
      <c r="H917">
        <v>15455</v>
      </c>
      <c r="I917">
        <v>5</v>
      </c>
      <c r="J917" t="s">
        <v>1039</v>
      </c>
      <c r="K917">
        <v>29364.5</v>
      </c>
    </row>
    <row r="918" spans="1:11" x14ac:dyDescent="0.25">
      <c r="A918" t="s">
        <v>926</v>
      </c>
      <c r="B918" s="1">
        <v>44991</v>
      </c>
      <c r="C918" t="s">
        <v>1011</v>
      </c>
      <c r="D918" t="s">
        <v>1018</v>
      </c>
      <c r="E918" t="s">
        <v>1030</v>
      </c>
      <c r="F918" t="s">
        <v>1033</v>
      </c>
      <c r="G918">
        <v>2</v>
      </c>
      <c r="H918">
        <v>5135</v>
      </c>
      <c r="I918">
        <v>10</v>
      </c>
      <c r="J918" t="s">
        <v>1038</v>
      </c>
      <c r="K918">
        <v>9243</v>
      </c>
    </row>
    <row r="919" spans="1:11" x14ac:dyDescent="0.25">
      <c r="A919" t="s">
        <v>927</v>
      </c>
      <c r="B919" s="1">
        <v>45253</v>
      </c>
      <c r="C919" t="s">
        <v>1011</v>
      </c>
      <c r="D919" t="s">
        <v>1016</v>
      </c>
      <c r="E919" t="s">
        <v>1027</v>
      </c>
      <c r="F919" t="s">
        <v>1034</v>
      </c>
      <c r="G919">
        <v>8</v>
      </c>
      <c r="H919">
        <v>14280</v>
      </c>
      <c r="I919">
        <v>5</v>
      </c>
      <c r="J919" t="s">
        <v>1038</v>
      </c>
      <c r="K919">
        <v>108528</v>
      </c>
    </row>
    <row r="920" spans="1:11" x14ac:dyDescent="0.25">
      <c r="A920" t="s">
        <v>928</v>
      </c>
      <c r="B920" s="1">
        <v>45178</v>
      </c>
      <c r="C920" t="s">
        <v>1012</v>
      </c>
      <c r="D920" t="s">
        <v>1015</v>
      </c>
      <c r="E920" t="s">
        <v>1024</v>
      </c>
      <c r="F920" t="s">
        <v>1034</v>
      </c>
      <c r="G920">
        <v>6</v>
      </c>
      <c r="H920">
        <v>28932</v>
      </c>
      <c r="I920">
        <v>0</v>
      </c>
      <c r="J920" t="s">
        <v>1036</v>
      </c>
      <c r="K920">
        <v>173592</v>
      </c>
    </row>
    <row r="921" spans="1:11" x14ac:dyDescent="0.25">
      <c r="A921" t="s">
        <v>929</v>
      </c>
      <c r="B921" s="1">
        <v>44979</v>
      </c>
      <c r="C921" t="s">
        <v>1010</v>
      </c>
      <c r="D921" t="s">
        <v>1017</v>
      </c>
      <c r="E921" t="s">
        <v>1023</v>
      </c>
      <c r="F921" t="s">
        <v>1033</v>
      </c>
      <c r="G921">
        <v>2</v>
      </c>
      <c r="H921">
        <v>23108</v>
      </c>
      <c r="I921">
        <v>10</v>
      </c>
      <c r="J921" t="s">
        <v>1039</v>
      </c>
      <c r="K921">
        <v>41594.400000000001</v>
      </c>
    </row>
    <row r="922" spans="1:11" x14ac:dyDescent="0.25">
      <c r="A922" t="s">
        <v>930</v>
      </c>
      <c r="B922" s="1">
        <v>44933</v>
      </c>
      <c r="C922" t="s">
        <v>1010</v>
      </c>
      <c r="D922" t="s">
        <v>1020</v>
      </c>
      <c r="E922" t="s">
        <v>1027</v>
      </c>
      <c r="F922" t="s">
        <v>1034</v>
      </c>
      <c r="G922">
        <v>9</v>
      </c>
      <c r="H922">
        <v>49360</v>
      </c>
      <c r="I922">
        <v>10</v>
      </c>
      <c r="J922" t="s">
        <v>1037</v>
      </c>
      <c r="K922">
        <v>399816</v>
      </c>
    </row>
    <row r="923" spans="1:11" x14ac:dyDescent="0.25">
      <c r="A923" t="s">
        <v>931</v>
      </c>
      <c r="B923" s="1">
        <v>45220</v>
      </c>
      <c r="C923" t="s">
        <v>1010</v>
      </c>
      <c r="D923" t="s">
        <v>1014</v>
      </c>
      <c r="E923" t="s">
        <v>1029</v>
      </c>
      <c r="F923" t="s">
        <v>1033</v>
      </c>
      <c r="G923">
        <v>7</v>
      </c>
      <c r="H923">
        <v>45459</v>
      </c>
      <c r="I923">
        <v>20</v>
      </c>
      <c r="J923" t="s">
        <v>1037</v>
      </c>
      <c r="K923">
        <v>254570.4</v>
      </c>
    </row>
    <row r="924" spans="1:11" x14ac:dyDescent="0.25">
      <c r="A924" t="s">
        <v>932</v>
      </c>
      <c r="B924" s="1">
        <v>45072</v>
      </c>
      <c r="C924" t="s">
        <v>1010</v>
      </c>
      <c r="D924" t="s">
        <v>1020</v>
      </c>
      <c r="E924" t="s">
        <v>1030</v>
      </c>
      <c r="F924" t="s">
        <v>1033</v>
      </c>
      <c r="G924">
        <v>9</v>
      </c>
      <c r="H924">
        <v>27346</v>
      </c>
      <c r="I924">
        <v>5</v>
      </c>
      <c r="J924" t="s">
        <v>1035</v>
      </c>
      <c r="K924">
        <v>233808.3</v>
      </c>
    </row>
    <row r="925" spans="1:11" x14ac:dyDescent="0.25">
      <c r="A925" t="s">
        <v>933</v>
      </c>
      <c r="B925" s="1">
        <v>45167</v>
      </c>
      <c r="C925" t="s">
        <v>1012</v>
      </c>
      <c r="D925" t="s">
        <v>1014</v>
      </c>
      <c r="E925" t="s">
        <v>1031</v>
      </c>
      <c r="F925" t="s">
        <v>1034</v>
      </c>
      <c r="G925">
        <v>10</v>
      </c>
      <c r="H925">
        <v>22249</v>
      </c>
      <c r="I925">
        <v>0</v>
      </c>
      <c r="J925" t="s">
        <v>1039</v>
      </c>
      <c r="K925">
        <v>222490</v>
      </c>
    </row>
    <row r="926" spans="1:11" x14ac:dyDescent="0.25">
      <c r="A926" t="s">
        <v>934</v>
      </c>
      <c r="B926" s="1">
        <v>45172</v>
      </c>
      <c r="C926" t="s">
        <v>1013</v>
      </c>
      <c r="D926" t="s">
        <v>1019</v>
      </c>
      <c r="E926" t="s">
        <v>1031</v>
      </c>
      <c r="F926" t="s">
        <v>1033</v>
      </c>
      <c r="G926">
        <v>3</v>
      </c>
      <c r="H926">
        <v>8916</v>
      </c>
      <c r="I926">
        <v>15</v>
      </c>
      <c r="J926" t="s">
        <v>1037</v>
      </c>
      <c r="K926">
        <v>22735.8</v>
      </c>
    </row>
    <row r="927" spans="1:11" x14ac:dyDescent="0.25">
      <c r="A927" t="s">
        <v>935</v>
      </c>
      <c r="B927" s="1">
        <v>45152</v>
      </c>
      <c r="C927" t="s">
        <v>1012</v>
      </c>
      <c r="D927" t="s">
        <v>1021</v>
      </c>
      <c r="E927" t="s">
        <v>1026</v>
      </c>
      <c r="F927" t="s">
        <v>1032</v>
      </c>
      <c r="G927">
        <v>7</v>
      </c>
      <c r="H927">
        <v>45832</v>
      </c>
      <c r="I927">
        <v>0</v>
      </c>
      <c r="J927" t="s">
        <v>1037</v>
      </c>
      <c r="K927">
        <v>320824</v>
      </c>
    </row>
    <row r="928" spans="1:11" x14ac:dyDescent="0.25">
      <c r="A928" t="s">
        <v>936</v>
      </c>
      <c r="B928" s="1">
        <v>45101</v>
      </c>
      <c r="C928" t="s">
        <v>1013</v>
      </c>
      <c r="D928" t="s">
        <v>1014</v>
      </c>
      <c r="E928" t="s">
        <v>1024</v>
      </c>
      <c r="F928" t="s">
        <v>1033</v>
      </c>
      <c r="G928">
        <v>9</v>
      </c>
      <c r="H928">
        <v>38746</v>
      </c>
      <c r="I928">
        <v>0</v>
      </c>
      <c r="J928" t="s">
        <v>1039</v>
      </c>
      <c r="K928">
        <v>348714</v>
      </c>
    </row>
    <row r="929" spans="1:11" x14ac:dyDescent="0.25">
      <c r="A929" t="s">
        <v>937</v>
      </c>
      <c r="B929" s="1">
        <v>45021</v>
      </c>
      <c r="C929" t="s">
        <v>1013</v>
      </c>
      <c r="D929" t="s">
        <v>1014</v>
      </c>
      <c r="E929" t="s">
        <v>1031</v>
      </c>
      <c r="F929" t="s">
        <v>1033</v>
      </c>
      <c r="G929">
        <v>7</v>
      </c>
      <c r="H929">
        <v>36775</v>
      </c>
      <c r="I929">
        <v>0</v>
      </c>
      <c r="J929" t="s">
        <v>1038</v>
      </c>
      <c r="K929">
        <v>257425</v>
      </c>
    </row>
    <row r="930" spans="1:11" x14ac:dyDescent="0.25">
      <c r="A930" t="s">
        <v>938</v>
      </c>
      <c r="B930" s="1">
        <v>44953</v>
      </c>
      <c r="C930" t="s">
        <v>1013</v>
      </c>
      <c r="D930" t="s">
        <v>1018</v>
      </c>
      <c r="E930" t="s">
        <v>1029</v>
      </c>
      <c r="F930" t="s">
        <v>1034</v>
      </c>
      <c r="G930">
        <v>1</v>
      </c>
      <c r="H930">
        <v>10000</v>
      </c>
      <c r="I930">
        <v>10</v>
      </c>
      <c r="J930" t="s">
        <v>1039</v>
      </c>
      <c r="K930">
        <v>9000</v>
      </c>
    </row>
    <row r="931" spans="1:11" x14ac:dyDescent="0.25">
      <c r="A931" t="s">
        <v>939</v>
      </c>
      <c r="B931" s="1">
        <v>45056</v>
      </c>
      <c r="C931" t="s">
        <v>1010</v>
      </c>
      <c r="D931" t="s">
        <v>1019</v>
      </c>
      <c r="E931" t="s">
        <v>1026</v>
      </c>
      <c r="F931" t="s">
        <v>1033</v>
      </c>
      <c r="G931">
        <v>3</v>
      </c>
      <c r="H931">
        <v>22075</v>
      </c>
      <c r="I931">
        <v>20</v>
      </c>
      <c r="J931" t="s">
        <v>1038</v>
      </c>
      <c r="K931">
        <v>52980</v>
      </c>
    </row>
    <row r="932" spans="1:11" x14ac:dyDescent="0.25">
      <c r="A932" t="s">
        <v>940</v>
      </c>
      <c r="B932" s="1">
        <v>45171</v>
      </c>
      <c r="C932" t="s">
        <v>1012</v>
      </c>
      <c r="D932" t="s">
        <v>1018</v>
      </c>
      <c r="E932" t="s">
        <v>1025</v>
      </c>
      <c r="F932" t="s">
        <v>1034</v>
      </c>
      <c r="G932">
        <v>6</v>
      </c>
      <c r="H932">
        <v>14974</v>
      </c>
      <c r="I932">
        <v>10</v>
      </c>
      <c r="J932" t="s">
        <v>1036</v>
      </c>
      <c r="K932">
        <v>80859.600000000006</v>
      </c>
    </row>
    <row r="933" spans="1:11" x14ac:dyDescent="0.25">
      <c r="A933" t="s">
        <v>941</v>
      </c>
      <c r="B933" s="1">
        <v>44985</v>
      </c>
      <c r="C933" t="s">
        <v>1013</v>
      </c>
      <c r="D933" t="s">
        <v>1018</v>
      </c>
      <c r="E933" t="s">
        <v>1023</v>
      </c>
      <c r="F933" t="s">
        <v>1032</v>
      </c>
      <c r="G933">
        <v>10</v>
      </c>
      <c r="H933">
        <v>3987</v>
      </c>
      <c r="I933">
        <v>0</v>
      </c>
      <c r="J933" t="s">
        <v>1036</v>
      </c>
      <c r="K933">
        <v>39870</v>
      </c>
    </row>
    <row r="934" spans="1:11" x14ac:dyDescent="0.25">
      <c r="A934" t="s">
        <v>942</v>
      </c>
      <c r="B934" s="1">
        <v>44960</v>
      </c>
      <c r="C934" t="s">
        <v>1011</v>
      </c>
      <c r="D934" t="s">
        <v>1018</v>
      </c>
      <c r="E934" t="s">
        <v>1029</v>
      </c>
      <c r="F934" t="s">
        <v>1033</v>
      </c>
      <c r="G934">
        <v>3</v>
      </c>
      <c r="H934">
        <v>39868</v>
      </c>
      <c r="I934">
        <v>15</v>
      </c>
      <c r="J934" t="s">
        <v>1038</v>
      </c>
      <c r="K934">
        <v>101663.4</v>
      </c>
    </row>
    <row r="935" spans="1:11" x14ac:dyDescent="0.25">
      <c r="A935" t="s">
        <v>943</v>
      </c>
      <c r="B935" s="1">
        <v>45132</v>
      </c>
      <c r="C935" t="s">
        <v>1013</v>
      </c>
      <c r="D935" t="s">
        <v>1020</v>
      </c>
      <c r="E935" t="s">
        <v>1028</v>
      </c>
      <c r="F935" t="s">
        <v>1032</v>
      </c>
      <c r="G935">
        <v>3</v>
      </c>
      <c r="H935">
        <v>12367</v>
      </c>
      <c r="I935">
        <v>10</v>
      </c>
      <c r="J935" t="s">
        <v>1039</v>
      </c>
      <c r="K935">
        <v>33390.9</v>
      </c>
    </row>
    <row r="936" spans="1:11" x14ac:dyDescent="0.25">
      <c r="A936" t="s">
        <v>944</v>
      </c>
      <c r="B936" s="1">
        <v>45178</v>
      </c>
      <c r="C936" t="s">
        <v>1012</v>
      </c>
      <c r="D936" t="s">
        <v>1015</v>
      </c>
      <c r="E936" t="s">
        <v>1027</v>
      </c>
      <c r="F936" t="s">
        <v>1033</v>
      </c>
      <c r="G936">
        <v>3</v>
      </c>
      <c r="H936">
        <v>22987</v>
      </c>
      <c r="I936">
        <v>0</v>
      </c>
      <c r="J936" t="s">
        <v>1035</v>
      </c>
      <c r="K936">
        <v>68961</v>
      </c>
    </row>
    <row r="937" spans="1:11" x14ac:dyDescent="0.25">
      <c r="A937" t="s">
        <v>945</v>
      </c>
      <c r="B937" s="1">
        <v>44964</v>
      </c>
      <c r="C937" t="s">
        <v>1010</v>
      </c>
      <c r="D937" t="s">
        <v>1019</v>
      </c>
      <c r="E937" t="s">
        <v>1027</v>
      </c>
      <c r="F937" t="s">
        <v>1032</v>
      </c>
      <c r="G937">
        <v>3</v>
      </c>
      <c r="H937">
        <v>5143</v>
      </c>
      <c r="I937">
        <v>15</v>
      </c>
      <c r="J937" t="s">
        <v>1037</v>
      </c>
      <c r="K937">
        <v>13114.65</v>
      </c>
    </row>
    <row r="938" spans="1:11" x14ac:dyDescent="0.25">
      <c r="A938" t="s">
        <v>946</v>
      </c>
      <c r="B938" s="1">
        <v>45222</v>
      </c>
      <c r="C938" t="s">
        <v>1011</v>
      </c>
      <c r="D938" t="s">
        <v>1020</v>
      </c>
      <c r="E938" t="s">
        <v>1022</v>
      </c>
      <c r="F938" t="s">
        <v>1033</v>
      </c>
      <c r="G938">
        <v>1</v>
      </c>
      <c r="H938">
        <v>8913</v>
      </c>
      <c r="I938">
        <v>5</v>
      </c>
      <c r="J938" t="s">
        <v>1036</v>
      </c>
      <c r="K938">
        <v>8467.35</v>
      </c>
    </row>
    <row r="939" spans="1:11" x14ac:dyDescent="0.25">
      <c r="A939" t="s">
        <v>947</v>
      </c>
      <c r="B939" s="1">
        <v>45249</v>
      </c>
      <c r="C939" t="s">
        <v>1013</v>
      </c>
      <c r="D939" t="s">
        <v>1019</v>
      </c>
      <c r="E939" t="s">
        <v>1023</v>
      </c>
      <c r="F939" t="s">
        <v>1034</v>
      </c>
      <c r="G939">
        <v>7</v>
      </c>
      <c r="H939">
        <v>18949</v>
      </c>
      <c r="I939">
        <v>5</v>
      </c>
      <c r="J939" t="s">
        <v>1036</v>
      </c>
      <c r="K939">
        <v>126010.85</v>
      </c>
    </row>
    <row r="940" spans="1:11" x14ac:dyDescent="0.25">
      <c r="A940" t="s">
        <v>948</v>
      </c>
      <c r="B940" s="1">
        <v>45278</v>
      </c>
      <c r="C940" t="s">
        <v>1010</v>
      </c>
      <c r="D940" t="s">
        <v>1020</v>
      </c>
      <c r="E940" t="s">
        <v>1028</v>
      </c>
      <c r="F940" t="s">
        <v>1032</v>
      </c>
      <c r="G940">
        <v>5</v>
      </c>
      <c r="H940">
        <v>10256</v>
      </c>
      <c r="I940">
        <v>0</v>
      </c>
      <c r="J940" t="s">
        <v>1038</v>
      </c>
      <c r="K940">
        <v>51280</v>
      </c>
    </row>
    <row r="941" spans="1:11" x14ac:dyDescent="0.25">
      <c r="A941" t="s">
        <v>949</v>
      </c>
      <c r="B941" s="1">
        <v>44954</v>
      </c>
      <c r="C941" t="s">
        <v>1012</v>
      </c>
      <c r="D941" t="s">
        <v>1021</v>
      </c>
      <c r="E941" t="s">
        <v>1028</v>
      </c>
      <c r="F941" t="s">
        <v>1034</v>
      </c>
      <c r="G941">
        <v>5</v>
      </c>
      <c r="H941">
        <v>28207</v>
      </c>
      <c r="I941">
        <v>20</v>
      </c>
      <c r="J941" t="s">
        <v>1035</v>
      </c>
      <c r="K941">
        <v>112828</v>
      </c>
    </row>
    <row r="942" spans="1:11" x14ac:dyDescent="0.25">
      <c r="A942" t="s">
        <v>950</v>
      </c>
      <c r="B942" s="1">
        <v>45004</v>
      </c>
      <c r="C942" t="s">
        <v>1012</v>
      </c>
      <c r="D942" t="s">
        <v>1015</v>
      </c>
      <c r="E942" t="s">
        <v>1027</v>
      </c>
      <c r="F942" t="s">
        <v>1034</v>
      </c>
      <c r="G942">
        <v>8</v>
      </c>
      <c r="H942">
        <v>12013</v>
      </c>
      <c r="I942">
        <v>20</v>
      </c>
      <c r="J942" t="s">
        <v>1039</v>
      </c>
      <c r="K942">
        <v>76883.199999999997</v>
      </c>
    </row>
    <row r="943" spans="1:11" x14ac:dyDescent="0.25">
      <c r="A943" t="s">
        <v>951</v>
      </c>
      <c r="B943" s="1">
        <v>45003</v>
      </c>
      <c r="C943" t="s">
        <v>1011</v>
      </c>
      <c r="D943" t="s">
        <v>1016</v>
      </c>
      <c r="E943" t="s">
        <v>1026</v>
      </c>
      <c r="F943" t="s">
        <v>1032</v>
      </c>
      <c r="G943">
        <v>5</v>
      </c>
      <c r="H943">
        <v>46632</v>
      </c>
      <c r="I943">
        <v>0</v>
      </c>
      <c r="J943" t="s">
        <v>1035</v>
      </c>
      <c r="K943">
        <v>233160</v>
      </c>
    </row>
    <row r="944" spans="1:11" x14ac:dyDescent="0.25">
      <c r="A944" t="s">
        <v>952</v>
      </c>
      <c r="B944" s="1">
        <v>45215</v>
      </c>
      <c r="C944" t="s">
        <v>1011</v>
      </c>
      <c r="D944" t="s">
        <v>1018</v>
      </c>
      <c r="E944" t="s">
        <v>1024</v>
      </c>
      <c r="F944" t="s">
        <v>1033</v>
      </c>
      <c r="G944">
        <v>3</v>
      </c>
      <c r="H944">
        <v>25243</v>
      </c>
      <c r="I944">
        <v>20</v>
      </c>
      <c r="J944" t="s">
        <v>1038</v>
      </c>
      <c r="K944">
        <v>60583.199999999997</v>
      </c>
    </row>
    <row r="945" spans="1:11" x14ac:dyDescent="0.25">
      <c r="A945" t="s">
        <v>953</v>
      </c>
      <c r="B945" s="1">
        <v>45082</v>
      </c>
      <c r="C945" t="s">
        <v>1013</v>
      </c>
      <c r="D945" t="s">
        <v>1020</v>
      </c>
      <c r="E945" t="s">
        <v>1022</v>
      </c>
      <c r="F945" t="s">
        <v>1033</v>
      </c>
      <c r="G945">
        <v>2</v>
      </c>
      <c r="H945">
        <v>37268</v>
      </c>
      <c r="I945">
        <v>20</v>
      </c>
      <c r="J945" t="s">
        <v>1035</v>
      </c>
      <c r="K945">
        <v>59628.800000000003</v>
      </c>
    </row>
    <row r="946" spans="1:11" x14ac:dyDescent="0.25">
      <c r="A946" t="s">
        <v>954</v>
      </c>
      <c r="B946" s="1">
        <v>44970</v>
      </c>
      <c r="C946" t="s">
        <v>1010</v>
      </c>
      <c r="D946" t="s">
        <v>1019</v>
      </c>
      <c r="E946" t="s">
        <v>1031</v>
      </c>
      <c r="F946" t="s">
        <v>1033</v>
      </c>
      <c r="G946">
        <v>3</v>
      </c>
      <c r="H946">
        <v>11813</v>
      </c>
      <c r="I946">
        <v>20</v>
      </c>
      <c r="J946" t="s">
        <v>1037</v>
      </c>
      <c r="K946">
        <v>28351.200000000001</v>
      </c>
    </row>
    <row r="947" spans="1:11" x14ac:dyDescent="0.25">
      <c r="A947" t="s">
        <v>955</v>
      </c>
      <c r="B947" s="1">
        <v>45054</v>
      </c>
      <c r="C947" t="s">
        <v>1010</v>
      </c>
      <c r="D947" t="s">
        <v>1018</v>
      </c>
      <c r="E947" t="s">
        <v>1023</v>
      </c>
      <c r="F947" t="s">
        <v>1034</v>
      </c>
      <c r="G947">
        <v>4</v>
      </c>
      <c r="H947">
        <v>29748</v>
      </c>
      <c r="I947">
        <v>10</v>
      </c>
      <c r="J947" t="s">
        <v>1039</v>
      </c>
      <c r="K947">
        <v>107092.8</v>
      </c>
    </row>
    <row r="948" spans="1:11" x14ac:dyDescent="0.25">
      <c r="A948" t="s">
        <v>956</v>
      </c>
      <c r="B948" s="1">
        <v>44987</v>
      </c>
      <c r="C948" t="s">
        <v>1012</v>
      </c>
      <c r="D948" t="s">
        <v>1021</v>
      </c>
      <c r="E948" t="s">
        <v>1024</v>
      </c>
      <c r="F948" t="s">
        <v>1034</v>
      </c>
      <c r="G948">
        <v>1</v>
      </c>
      <c r="H948">
        <v>16967</v>
      </c>
      <c r="I948">
        <v>15</v>
      </c>
      <c r="J948" t="s">
        <v>1039</v>
      </c>
      <c r="K948">
        <v>14421.95</v>
      </c>
    </row>
    <row r="949" spans="1:11" x14ac:dyDescent="0.25">
      <c r="A949" t="s">
        <v>957</v>
      </c>
      <c r="B949" s="1">
        <v>45212</v>
      </c>
      <c r="C949" t="s">
        <v>1012</v>
      </c>
      <c r="D949" t="s">
        <v>1014</v>
      </c>
      <c r="E949" t="s">
        <v>1030</v>
      </c>
      <c r="F949" t="s">
        <v>1032</v>
      </c>
      <c r="G949">
        <v>10</v>
      </c>
      <c r="H949">
        <v>39141</v>
      </c>
      <c r="I949">
        <v>0</v>
      </c>
      <c r="J949" t="s">
        <v>1035</v>
      </c>
      <c r="K949">
        <v>391410</v>
      </c>
    </row>
    <row r="950" spans="1:11" x14ac:dyDescent="0.25">
      <c r="A950" t="s">
        <v>958</v>
      </c>
      <c r="B950" s="1">
        <v>45140</v>
      </c>
      <c r="C950" t="s">
        <v>1013</v>
      </c>
      <c r="D950" t="s">
        <v>1021</v>
      </c>
      <c r="E950" t="s">
        <v>1028</v>
      </c>
      <c r="F950" t="s">
        <v>1034</v>
      </c>
      <c r="G950">
        <v>5</v>
      </c>
      <c r="H950">
        <v>3667</v>
      </c>
      <c r="I950">
        <v>5</v>
      </c>
      <c r="J950" t="s">
        <v>1036</v>
      </c>
      <c r="K950">
        <v>17418.25</v>
      </c>
    </row>
    <row r="951" spans="1:11" x14ac:dyDescent="0.25">
      <c r="A951" t="s">
        <v>959</v>
      </c>
      <c r="B951" s="1">
        <v>45237</v>
      </c>
      <c r="C951" t="s">
        <v>1013</v>
      </c>
      <c r="D951" t="s">
        <v>1020</v>
      </c>
      <c r="E951" t="s">
        <v>1027</v>
      </c>
      <c r="F951" t="s">
        <v>1033</v>
      </c>
      <c r="G951">
        <v>1</v>
      </c>
      <c r="H951">
        <v>9740</v>
      </c>
      <c r="I951">
        <v>20</v>
      </c>
      <c r="J951" t="s">
        <v>1037</v>
      </c>
      <c r="K951">
        <v>7792</v>
      </c>
    </row>
    <row r="952" spans="1:11" x14ac:dyDescent="0.25">
      <c r="A952" t="s">
        <v>960</v>
      </c>
      <c r="B952" s="1">
        <v>45232</v>
      </c>
      <c r="C952" t="s">
        <v>1012</v>
      </c>
      <c r="D952" t="s">
        <v>1018</v>
      </c>
      <c r="E952" t="s">
        <v>1029</v>
      </c>
      <c r="F952" t="s">
        <v>1032</v>
      </c>
      <c r="G952">
        <v>8</v>
      </c>
      <c r="H952">
        <v>7551</v>
      </c>
      <c r="I952">
        <v>0</v>
      </c>
      <c r="J952" t="s">
        <v>1039</v>
      </c>
      <c r="K952">
        <v>60408</v>
      </c>
    </row>
    <row r="953" spans="1:11" x14ac:dyDescent="0.25">
      <c r="A953" t="s">
        <v>961</v>
      </c>
      <c r="B953" s="1">
        <v>45243</v>
      </c>
      <c r="C953" t="s">
        <v>1012</v>
      </c>
      <c r="D953" t="s">
        <v>1020</v>
      </c>
      <c r="E953" t="s">
        <v>1029</v>
      </c>
      <c r="F953" t="s">
        <v>1033</v>
      </c>
      <c r="G953">
        <v>8</v>
      </c>
      <c r="H953">
        <v>42431</v>
      </c>
      <c r="I953">
        <v>10</v>
      </c>
      <c r="J953" t="s">
        <v>1039</v>
      </c>
      <c r="K953">
        <v>305503.2</v>
      </c>
    </row>
    <row r="954" spans="1:11" x14ac:dyDescent="0.25">
      <c r="A954" t="s">
        <v>962</v>
      </c>
      <c r="B954" s="1">
        <v>45042</v>
      </c>
      <c r="C954" t="s">
        <v>1010</v>
      </c>
      <c r="D954" t="s">
        <v>1017</v>
      </c>
      <c r="E954" t="s">
        <v>1030</v>
      </c>
      <c r="F954" t="s">
        <v>1032</v>
      </c>
      <c r="G954">
        <v>8</v>
      </c>
      <c r="H954">
        <v>41136</v>
      </c>
      <c r="I954">
        <v>10</v>
      </c>
      <c r="J954" t="s">
        <v>1036</v>
      </c>
      <c r="K954">
        <v>296179.20000000001</v>
      </c>
    </row>
    <row r="955" spans="1:11" x14ac:dyDescent="0.25">
      <c r="A955" t="s">
        <v>963</v>
      </c>
      <c r="B955" s="1">
        <v>45194</v>
      </c>
      <c r="C955" t="s">
        <v>1010</v>
      </c>
      <c r="D955" t="s">
        <v>1014</v>
      </c>
      <c r="E955" t="s">
        <v>1028</v>
      </c>
      <c r="F955" t="s">
        <v>1033</v>
      </c>
      <c r="G955">
        <v>9</v>
      </c>
      <c r="H955">
        <v>25650</v>
      </c>
      <c r="I955">
        <v>20</v>
      </c>
      <c r="J955" t="s">
        <v>1035</v>
      </c>
      <c r="K955">
        <v>184680</v>
      </c>
    </row>
    <row r="956" spans="1:11" x14ac:dyDescent="0.25">
      <c r="A956" t="s">
        <v>964</v>
      </c>
      <c r="B956" s="1">
        <v>45121</v>
      </c>
      <c r="C956" t="s">
        <v>1010</v>
      </c>
      <c r="D956" t="s">
        <v>1019</v>
      </c>
      <c r="E956" t="s">
        <v>1031</v>
      </c>
      <c r="F956" t="s">
        <v>1034</v>
      </c>
      <c r="G956">
        <v>1</v>
      </c>
      <c r="H956">
        <v>11338</v>
      </c>
      <c r="I956">
        <v>15</v>
      </c>
      <c r="J956" t="s">
        <v>1036</v>
      </c>
      <c r="K956">
        <v>9637.2999999999993</v>
      </c>
    </row>
    <row r="957" spans="1:11" x14ac:dyDescent="0.25">
      <c r="A957" t="s">
        <v>965</v>
      </c>
      <c r="B957" s="1">
        <v>45157</v>
      </c>
      <c r="C957" t="s">
        <v>1013</v>
      </c>
      <c r="D957" t="s">
        <v>1015</v>
      </c>
      <c r="E957" t="s">
        <v>1031</v>
      </c>
      <c r="F957" t="s">
        <v>1034</v>
      </c>
      <c r="G957">
        <v>10</v>
      </c>
      <c r="H957">
        <v>2024</v>
      </c>
      <c r="I957">
        <v>5</v>
      </c>
      <c r="J957" t="s">
        <v>1038</v>
      </c>
      <c r="K957">
        <v>19228</v>
      </c>
    </row>
    <row r="958" spans="1:11" x14ac:dyDescent="0.25">
      <c r="A958" t="s">
        <v>966</v>
      </c>
      <c r="B958" s="1">
        <v>45153</v>
      </c>
      <c r="C958" t="s">
        <v>1010</v>
      </c>
      <c r="D958" t="s">
        <v>1020</v>
      </c>
      <c r="E958" t="s">
        <v>1030</v>
      </c>
      <c r="F958" t="s">
        <v>1033</v>
      </c>
      <c r="G958">
        <v>8</v>
      </c>
      <c r="H958">
        <v>32913</v>
      </c>
      <c r="I958">
        <v>15</v>
      </c>
      <c r="J958" t="s">
        <v>1036</v>
      </c>
      <c r="K958">
        <v>223808.4</v>
      </c>
    </row>
    <row r="959" spans="1:11" x14ac:dyDescent="0.25">
      <c r="A959" t="s">
        <v>967</v>
      </c>
      <c r="B959" s="1">
        <v>45079</v>
      </c>
      <c r="C959" t="s">
        <v>1011</v>
      </c>
      <c r="D959" t="s">
        <v>1014</v>
      </c>
      <c r="E959" t="s">
        <v>1026</v>
      </c>
      <c r="F959" t="s">
        <v>1032</v>
      </c>
      <c r="G959">
        <v>4</v>
      </c>
      <c r="H959">
        <v>6290</v>
      </c>
      <c r="I959">
        <v>5</v>
      </c>
      <c r="J959" t="s">
        <v>1037</v>
      </c>
      <c r="K959">
        <v>23902</v>
      </c>
    </row>
    <row r="960" spans="1:11" x14ac:dyDescent="0.25">
      <c r="A960" t="s">
        <v>968</v>
      </c>
      <c r="B960" s="1">
        <v>45228</v>
      </c>
      <c r="C960" t="s">
        <v>1011</v>
      </c>
      <c r="D960" t="s">
        <v>1015</v>
      </c>
      <c r="E960" t="s">
        <v>1031</v>
      </c>
      <c r="F960" t="s">
        <v>1034</v>
      </c>
      <c r="G960">
        <v>4</v>
      </c>
      <c r="H960">
        <v>1416</v>
      </c>
      <c r="I960">
        <v>5</v>
      </c>
      <c r="J960" t="s">
        <v>1039</v>
      </c>
      <c r="K960">
        <v>5380.8</v>
      </c>
    </row>
    <row r="961" spans="1:11" x14ac:dyDescent="0.25">
      <c r="A961" t="s">
        <v>969</v>
      </c>
      <c r="B961" s="1">
        <v>45146</v>
      </c>
      <c r="C961" t="s">
        <v>1010</v>
      </c>
      <c r="D961" t="s">
        <v>1014</v>
      </c>
      <c r="E961" t="s">
        <v>1023</v>
      </c>
      <c r="F961" t="s">
        <v>1032</v>
      </c>
      <c r="G961">
        <v>10</v>
      </c>
      <c r="H961">
        <v>1473</v>
      </c>
      <c r="I961">
        <v>0</v>
      </c>
      <c r="J961" t="s">
        <v>1035</v>
      </c>
      <c r="K961">
        <v>14730</v>
      </c>
    </row>
    <row r="962" spans="1:11" x14ac:dyDescent="0.25">
      <c r="A962" t="s">
        <v>970</v>
      </c>
      <c r="B962" s="1">
        <v>45083</v>
      </c>
      <c r="C962" t="s">
        <v>1010</v>
      </c>
      <c r="D962" t="s">
        <v>1015</v>
      </c>
      <c r="E962" t="s">
        <v>1022</v>
      </c>
      <c r="F962" t="s">
        <v>1033</v>
      </c>
      <c r="G962">
        <v>8</v>
      </c>
      <c r="H962">
        <v>12758</v>
      </c>
      <c r="I962">
        <v>5</v>
      </c>
      <c r="J962" t="s">
        <v>1038</v>
      </c>
      <c r="K962">
        <v>96960.799999999988</v>
      </c>
    </row>
    <row r="963" spans="1:11" x14ac:dyDescent="0.25">
      <c r="A963" t="s">
        <v>971</v>
      </c>
      <c r="B963" s="1">
        <v>45218</v>
      </c>
      <c r="C963" t="s">
        <v>1012</v>
      </c>
      <c r="D963" t="s">
        <v>1017</v>
      </c>
      <c r="E963" t="s">
        <v>1023</v>
      </c>
      <c r="F963" t="s">
        <v>1033</v>
      </c>
      <c r="G963">
        <v>8</v>
      </c>
      <c r="H963">
        <v>6841</v>
      </c>
      <c r="I963">
        <v>5</v>
      </c>
      <c r="J963" t="s">
        <v>1037</v>
      </c>
      <c r="K963">
        <v>51991.6</v>
      </c>
    </row>
    <row r="964" spans="1:11" x14ac:dyDescent="0.25">
      <c r="A964" t="s">
        <v>972</v>
      </c>
      <c r="B964" s="1">
        <v>45244</v>
      </c>
      <c r="C964" t="s">
        <v>1012</v>
      </c>
      <c r="D964" t="s">
        <v>1016</v>
      </c>
      <c r="E964" t="s">
        <v>1025</v>
      </c>
      <c r="F964" t="s">
        <v>1033</v>
      </c>
      <c r="G964">
        <v>7</v>
      </c>
      <c r="H964">
        <v>47316</v>
      </c>
      <c r="I964">
        <v>10</v>
      </c>
      <c r="J964" t="s">
        <v>1039</v>
      </c>
      <c r="K964">
        <v>298090.8</v>
      </c>
    </row>
    <row r="965" spans="1:11" x14ac:dyDescent="0.25">
      <c r="A965" t="s">
        <v>973</v>
      </c>
      <c r="B965" s="1">
        <v>44957</v>
      </c>
      <c r="C965" t="s">
        <v>1013</v>
      </c>
      <c r="D965" t="s">
        <v>1019</v>
      </c>
      <c r="E965" t="s">
        <v>1029</v>
      </c>
      <c r="F965" t="s">
        <v>1032</v>
      </c>
      <c r="G965">
        <v>8</v>
      </c>
      <c r="H965">
        <v>43713</v>
      </c>
      <c r="I965">
        <v>15</v>
      </c>
      <c r="J965" t="s">
        <v>1039</v>
      </c>
      <c r="K965">
        <v>297248.40000000002</v>
      </c>
    </row>
    <row r="966" spans="1:11" x14ac:dyDescent="0.25">
      <c r="A966" t="s">
        <v>974</v>
      </c>
      <c r="B966" s="1">
        <v>45239</v>
      </c>
      <c r="C966" t="s">
        <v>1011</v>
      </c>
      <c r="D966" t="s">
        <v>1015</v>
      </c>
      <c r="E966" t="s">
        <v>1028</v>
      </c>
      <c r="F966" t="s">
        <v>1034</v>
      </c>
      <c r="G966">
        <v>2</v>
      </c>
      <c r="H966">
        <v>39910</v>
      </c>
      <c r="I966">
        <v>15</v>
      </c>
      <c r="J966" t="s">
        <v>1035</v>
      </c>
      <c r="K966">
        <v>67847</v>
      </c>
    </row>
    <row r="967" spans="1:11" x14ac:dyDescent="0.25">
      <c r="A967" t="s">
        <v>975</v>
      </c>
      <c r="B967" s="1">
        <v>44977</v>
      </c>
      <c r="C967" t="s">
        <v>1011</v>
      </c>
      <c r="D967" t="s">
        <v>1016</v>
      </c>
      <c r="E967" t="s">
        <v>1022</v>
      </c>
      <c r="F967" t="s">
        <v>1033</v>
      </c>
      <c r="G967">
        <v>10</v>
      </c>
      <c r="H967">
        <v>19594</v>
      </c>
      <c r="I967">
        <v>10</v>
      </c>
      <c r="J967" t="s">
        <v>1035</v>
      </c>
      <c r="K967">
        <v>176346</v>
      </c>
    </row>
    <row r="968" spans="1:11" x14ac:dyDescent="0.25">
      <c r="A968" t="s">
        <v>976</v>
      </c>
      <c r="B968" s="1">
        <v>45033</v>
      </c>
      <c r="C968" t="s">
        <v>1013</v>
      </c>
      <c r="D968" t="s">
        <v>1015</v>
      </c>
      <c r="E968" t="s">
        <v>1028</v>
      </c>
      <c r="F968" t="s">
        <v>1032</v>
      </c>
      <c r="G968">
        <v>10</v>
      </c>
      <c r="H968">
        <v>28277</v>
      </c>
      <c r="I968">
        <v>20</v>
      </c>
      <c r="J968" t="s">
        <v>1035</v>
      </c>
      <c r="K968">
        <v>226216</v>
      </c>
    </row>
    <row r="969" spans="1:11" x14ac:dyDescent="0.25">
      <c r="A969" t="s">
        <v>977</v>
      </c>
      <c r="B969" s="1">
        <v>45247</v>
      </c>
      <c r="C969" t="s">
        <v>1010</v>
      </c>
      <c r="D969" t="s">
        <v>1019</v>
      </c>
      <c r="E969" t="s">
        <v>1024</v>
      </c>
      <c r="F969" t="s">
        <v>1034</v>
      </c>
      <c r="G969">
        <v>1</v>
      </c>
      <c r="H969">
        <v>46449</v>
      </c>
      <c r="I969">
        <v>0</v>
      </c>
      <c r="J969" t="s">
        <v>1038</v>
      </c>
      <c r="K969">
        <v>46449</v>
      </c>
    </row>
    <row r="970" spans="1:11" x14ac:dyDescent="0.25">
      <c r="A970" t="s">
        <v>978</v>
      </c>
      <c r="B970" s="1">
        <v>45035</v>
      </c>
      <c r="C970" t="s">
        <v>1010</v>
      </c>
      <c r="D970" t="s">
        <v>1020</v>
      </c>
      <c r="E970" t="s">
        <v>1024</v>
      </c>
      <c r="F970" t="s">
        <v>1034</v>
      </c>
      <c r="G970">
        <v>4</v>
      </c>
      <c r="H970">
        <v>32195</v>
      </c>
      <c r="I970">
        <v>15</v>
      </c>
      <c r="J970" t="s">
        <v>1035</v>
      </c>
      <c r="K970">
        <v>109463</v>
      </c>
    </row>
    <row r="971" spans="1:11" x14ac:dyDescent="0.25">
      <c r="A971" t="s">
        <v>979</v>
      </c>
      <c r="B971" s="1">
        <v>45062</v>
      </c>
      <c r="C971" t="s">
        <v>1013</v>
      </c>
      <c r="D971" t="s">
        <v>1014</v>
      </c>
      <c r="E971" t="s">
        <v>1022</v>
      </c>
      <c r="F971" t="s">
        <v>1032</v>
      </c>
      <c r="G971">
        <v>9</v>
      </c>
      <c r="H971">
        <v>46374</v>
      </c>
      <c r="I971">
        <v>20</v>
      </c>
      <c r="J971" t="s">
        <v>1037</v>
      </c>
      <c r="K971">
        <v>333892.8</v>
      </c>
    </row>
    <row r="972" spans="1:11" x14ac:dyDescent="0.25">
      <c r="A972" t="s">
        <v>980</v>
      </c>
      <c r="B972" s="1">
        <v>45265</v>
      </c>
      <c r="C972" t="s">
        <v>1011</v>
      </c>
      <c r="D972" t="s">
        <v>1016</v>
      </c>
      <c r="E972" t="s">
        <v>1026</v>
      </c>
      <c r="F972" t="s">
        <v>1033</v>
      </c>
      <c r="G972">
        <v>5</v>
      </c>
      <c r="H972">
        <v>9316</v>
      </c>
      <c r="I972">
        <v>10</v>
      </c>
      <c r="J972" t="s">
        <v>1035</v>
      </c>
      <c r="K972">
        <v>41922</v>
      </c>
    </row>
    <row r="973" spans="1:11" x14ac:dyDescent="0.25">
      <c r="A973" t="s">
        <v>981</v>
      </c>
      <c r="B973" s="1">
        <v>44968</v>
      </c>
      <c r="C973" t="s">
        <v>1011</v>
      </c>
      <c r="D973" t="s">
        <v>1018</v>
      </c>
      <c r="E973" t="s">
        <v>1031</v>
      </c>
      <c r="F973" t="s">
        <v>1034</v>
      </c>
      <c r="G973">
        <v>10</v>
      </c>
      <c r="H973">
        <v>14510</v>
      </c>
      <c r="I973">
        <v>0</v>
      </c>
      <c r="J973" t="s">
        <v>1035</v>
      </c>
      <c r="K973">
        <v>145100</v>
      </c>
    </row>
    <row r="974" spans="1:11" x14ac:dyDescent="0.25">
      <c r="A974" t="s">
        <v>982</v>
      </c>
      <c r="B974" s="1">
        <v>45007</v>
      </c>
      <c r="C974" t="s">
        <v>1010</v>
      </c>
      <c r="D974" t="s">
        <v>1019</v>
      </c>
      <c r="E974" t="s">
        <v>1031</v>
      </c>
      <c r="F974" t="s">
        <v>1032</v>
      </c>
      <c r="G974">
        <v>9</v>
      </c>
      <c r="H974">
        <v>10377</v>
      </c>
      <c r="I974">
        <v>10</v>
      </c>
      <c r="J974" t="s">
        <v>1037</v>
      </c>
      <c r="K974">
        <v>84053.7</v>
      </c>
    </row>
    <row r="975" spans="1:11" x14ac:dyDescent="0.25">
      <c r="A975" t="s">
        <v>983</v>
      </c>
      <c r="B975" s="1">
        <v>45049</v>
      </c>
      <c r="C975" t="s">
        <v>1012</v>
      </c>
      <c r="D975" t="s">
        <v>1020</v>
      </c>
      <c r="E975" t="s">
        <v>1027</v>
      </c>
      <c r="F975" t="s">
        <v>1032</v>
      </c>
      <c r="G975">
        <v>4</v>
      </c>
      <c r="H975">
        <v>42931</v>
      </c>
      <c r="I975">
        <v>20</v>
      </c>
      <c r="J975" t="s">
        <v>1038</v>
      </c>
      <c r="K975">
        <v>137379.20000000001</v>
      </c>
    </row>
    <row r="976" spans="1:11" x14ac:dyDescent="0.25">
      <c r="A976" t="s">
        <v>984</v>
      </c>
      <c r="B976" s="1">
        <v>45015</v>
      </c>
      <c r="C976" t="s">
        <v>1013</v>
      </c>
      <c r="D976" t="s">
        <v>1019</v>
      </c>
      <c r="E976" t="s">
        <v>1031</v>
      </c>
      <c r="F976" t="s">
        <v>1034</v>
      </c>
      <c r="G976">
        <v>1</v>
      </c>
      <c r="H976">
        <v>18756</v>
      </c>
      <c r="I976">
        <v>15</v>
      </c>
      <c r="J976" t="s">
        <v>1039</v>
      </c>
      <c r="K976">
        <v>15942.6</v>
      </c>
    </row>
    <row r="977" spans="1:11" x14ac:dyDescent="0.25">
      <c r="A977" t="s">
        <v>985</v>
      </c>
      <c r="B977" s="1">
        <v>45209</v>
      </c>
      <c r="C977" t="s">
        <v>1013</v>
      </c>
      <c r="D977" t="s">
        <v>1020</v>
      </c>
      <c r="E977" t="s">
        <v>1026</v>
      </c>
      <c r="F977" t="s">
        <v>1032</v>
      </c>
      <c r="G977">
        <v>3</v>
      </c>
      <c r="H977">
        <v>35281</v>
      </c>
      <c r="I977">
        <v>15</v>
      </c>
      <c r="J977" t="s">
        <v>1035</v>
      </c>
      <c r="K977">
        <v>89966.55</v>
      </c>
    </row>
    <row r="978" spans="1:11" x14ac:dyDescent="0.25">
      <c r="A978" t="s">
        <v>986</v>
      </c>
      <c r="B978" s="1">
        <v>44965</v>
      </c>
      <c r="C978" t="s">
        <v>1010</v>
      </c>
      <c r="D978" t="s">
        <v>1017</v>
      </c>
      <c r="E978" t="s">
        <v>1031</v>
      </c>
      <c r="F978" t="s">
        <v>1033</v>
      </c>
      <c r="G978">
        <v>3</v>
      </c>
      <c r="H978">
        <v>30518</v>
      </c>
      <c r="I978">
        <v>5</v>
      </c>
      <c r="J978" t="s">
        <v>1036</v>
      </c>
      <c r="K978">
        <v>86976.3</v>
      </c>
    </row>
    <row r="979" spans="1:11" x14ac:dyDescent="0.25">
      <c r="A979" t="s">
        <v>987</v>
      </c>
      <c r="B979" s="1">
        <v>45007</v>
      </c>
      <c r="C979" t="s">
        <v>1013</v>
      </c>
      <c r="D979" t="s">
        <v>1017</v>
      </c>
      <c r="E979" t="s">
        <v>1031</v>
      </c>
      <c r="F979" t="s">
        <v>1032</v>
      </c>
      <c r="G979">
        <v>1</v>
      </c>
      <c r="H979">
        <v>28002</v>
      </c>
      <c r="I979">
        <v>10</v>
      </c>
      <c r="J979" t="s">
        <v>1037</v>
      </c>
      <c r="K979">
        <v>25201.8</v>
      </c>
    </row>
    <row r="980" spans="1:11" x14ac:dyDescent="0.25">
      <c r="A980" t="s">
        <v>988</v>
      </c>
      <c r="B980" s="1">
        <v>44928</v>
      </c>
      <c r="C980" t="s">
        <v>1011</v>
      </c>
      <c r="D980" t="s">
        <v>1016</v>
      </c>
      <c r="E980" t="s">
        <v>1023</v>
      </c>
      <c r="F980" t="s">
        <v>1032</v>
      </c>
      <c r="G980">
        <v>6</v>
      </c>
      <c r="H980">
        <v>16679</v>
      </c>
      <c r="I980">
        <v>5</v>
      </c>
      <c r="J980" t="s">
        <v>1036</v>
      </c>
      <c r="K980">
        <v>95070.299999999988</v>
      </c>
    </row>
    <row r="981" spans="1:11" x14ac:dyDescent="0.25">
      <c r="A981" t="s">
        <v>989</v>
      </c>
      <c r="B981" s="1">
        <v>45136</v>
      </c>
      <c r="C981" t="s">
        <v>1010</v>
      </c>
      <c r="D981" t="s">
        <v>1014</v>
      </c>
      <c r="E981" t="s">
        <v>1026</v>
      </c>
      <c r="F981" t="s">
        <v>1032</v>
      </c>
      <c r="G981">
        <v>1</v>
      </c>
      <c r="H981">
        <v>12439</v>
      </c>
      <c r="I981">
        <v>10</v>
      </c>
      <c r="J981" t="s">
        <v>1039</v>
      </c>
      <c r="K981">
        <v>11195.1</v>
      </c>
    </row>
    <row r="982" spans="1:11" x14ac:dyDescent="0.25">
      <c r="A982" t="s">
        <v>990</v>
      </c>
      <c r="B982" s="1">
        <v>45157</v>
      </c>
      <c r="C982" t="s">
        <v>1011</v>
      </c>
      <c r="D982" t="s">
        <v>1017</v>
      </c>
      <c r="E982" t="s">
        <v>1031</v>
      </c>
      <c r="F982" t="s">
        <v>1032</v>
      </c>
      <c r="G982">
        <v>3</v>
      </c>
      <c r="H982">
        <v>41012</v>
      </c>
      <c r="I982">
        <v>15</v>
      </c>
      <c r="J982" t="s">
        <v>1038</v>
      </c>
      <c r="K982">
        <v>104580.6</v>
      </c>
    </row>
    <row r="983" spans="1:11" x14ac:dyDescent="0.25">
      <c r="A983" t="s">
        <v>991</v>
      </c>
      <c r="B983" s="1">
        <v>45279</v>
      </c>
      <c r="C983" t="s">
        <v>1012</v>
      </c>
      <c r="D983" t="s">
        <v>1015</v>
      </c>
      <c r="E983" t="s">
        <v>1029</v>
      </c>
      <c r="F983" t="s">
        <v>1034</v>
      </c>
      <c r="G983">
        <v>1</v>
      </c>
      <c r="H983">
        <v>46329</v>
      </c>
      <c r="I983">
        <v>10</v>
      </c>
      <c r="J983" t="s">
        <v>1036</v>
      </c>
      <c r="K983">
        <v>41696.1</v>
      </c>
    </row>
    <row r="984" spans="1:11" x14ac:dyDescent="0.25">
      <c r="A984" t="s">
        <v>992</v>
      </c>
      <c r="B984" s="1">
        <v>45231</v>
      </c>
      <c r="C984" t="s">
        <v>1013</v>
      </c>
      <c r="D984" t="s">
        <v>1016</v>
      </c>
      <c r="E984" t="s">
        <v>1026</v>
      </c>
      <c r="F984" t="s">
        <v>1033</v>
      </c>
      <c r="G984">
        <v>10</v>
      </c>
      <c r="H984">
        <v>3465</v>
      </c>
      <c r="I984">
        <v>10</v>
      </c>
      <c r="J984" t="s">
        <v>1036</v>
      </c>
      <c r="K984">
        <v>31185</v>
      </c>
    </row>
    <row r="985" spans="1:11" x14ac:dyDescent="0.25">
      <c r="A985" t="s">
        <v>993</v>
      </c>
      <c r="B985" s="1">
        <v>45167</v>
      </c>
      <c r="C985" t="s">
        <v>1013</v>
      </c>
      <c r="D985" t="s">
        <v>1015</v>
      </c>
      <c r="E985" t="s">
        <v>1024</v>
      </c>
      <c r="F985" t="s">
        <v>1032</v>
      </c>
      <c r="G985">
        <v>10</v>
      </c>
      <c r="H985">
        <v>40077</v>
      </c>
      <c r="I985">
        <v>0</v>
      </c>
      <c r="J985" t="s">
        <v>1037</v>
      </c>
      <c r="K985">
        <v>400770</v>
      </c>
    </row>
    <row r="986" spans="1:11" x14ac:dyDescent="0.25">
      <c r="A986" t="s">
        <v>994</v>
      </c>
      <c r="B986" s="1">
        <v>45076</v>
      </c>
      <c r="C986" t="s">
        <v>1011</v>
      </c>
      <c r="D986" t="s">
        <v>1019</v>
      </c>
      <c r="E986" t="s">
        <v>1024</v>
      </c>
      <c r="F986" t="s">
        <v>1032</v>
      </c>
      <c r="G986">
        <v>5</v>
      </c>
      <c r="H986">
        <v>12796</v>
      </c>
      <c r="I986">
        <v>20</v>
      </c>
      <c r="J986" t="s">
        <v>1038</v>
      </c>
      <c r="K986">
        <v>51184</v>
      </c>
    </row>
    <row r="987" spans="1:11" x14ac:dyDescent="0.25">
      <c r="A987" t="s">
        <v>995</v>
      </c>
      <c r="B987" s="1">
        <v>44943</v>
      </c>
      <c r="C987" t="s">
        <v>1010</v>
      </c>
      <c r="D987" t="s">
        <v>1020</v>
      </c>
      <c r="E987" t="s">
        <v>1029</v>
      </c>
      <c r="F987" t="s">
        <v>1032</v>
      </c>
      <c r="G987">
        <v>6</v>
      </c>
      <c r="H987">
        <v>48002</v>
      </c>
      <c r="I987">
        <v>0</v>
      </c>
      <c r="J987" t="s">
        <v>1039</v>
      </c>
      <c r="K987">
        <v>288012</v>
      </c>
    </row>
    <row r="988" spans="1:11" x14ac:dyDescent="0.25">
      <c r="A988" t="s">
        <v>996</v>
      </c>
      <c r="B988" s="1">
        <v>45045</v>
      </c>
      <c r="C988" t="s">
        <v>1010</v>
      </c>
      <c r="D988" t="s">
        <v>1020</v>
      </c>
      <c r="E988" t="s">
        <v>1028</v>
      </c>
      <c r="F988" t="s">
        <v>1032</v>
      </c>
      <c r="G988">
        <v>2</v>
      </c>
      <c r="H988">
        <v>33760</v>
      </c>
      <c r="I988">
        <v>0</v>
      </c>
      <c r="J988" t="s">
        <v>1038</v>
      </c>
      <c r="K988">
        <v>67520</v>
      </c>
    </row>
    <row r="989" spans="1:11" x14ac:dyDescent="0.25">
      <c r="A989" t="s">
        <v>997</v>
      </c>
      <c r="B989" s="1">
        <v>45074</v>
      </c>
      <c r="C989" t="s">
        <v>1013</v>
      </c>
      <c r="D989" t="s">
        <v>1021</v>
      </c>
      <c r="E989" t="s">
        <v>1028</v>
      </c>
      <c r="F989" t="s">
        <v>1034</v>
      </c>
      <c r="G989">
        <v>1</v>
      </c>
      <c r="H989">
        <v>41111</v>
      </c>
      <c r="I989">
        <v>5</v>
      </c>
      <c r="J989" t="s">
        <v>1038</v>
      </c>
      <c r="K989">
        <v>39055.449999999997</v>
      </c>
    </row>
    <row r="990" spans="1:11" x14ac:dyDescent="0.25">
      <c r="A990" t="s">
        <v>998</v>
      </c>
      <c r="B990" s="1">
        <v>45288</v>
      </c>
      <c r="C990" t="s">
        <v>1011</v>
      </c>
      <c r="D990" t="s">
        <v>1014</v>
      </c>
      <c r="E990" t="s">
        <v>1029</v>
      </c>
      <c r="F990" t="s">
        <v>1034</v>
      </c>
      <c r="G990">
        <v>2</v>
      </c>
      <c r="H990">
        <v>6768</v>
      </c>
      <c r="I990">
        <v>10</v>
      </c>
      <c r="J990" t="s">
        <v>1039</v>
      </c>
      <c r="K990">
        <v>12182.4</v>
      </c>
    </row>
    <row r="991" spans="1:11" x14ac:dyDescent="0.25">
      <c r="A991" t="s">
        <v>999</v>
      </c>
      <c r="B991" s="1">
        <v>45071</v>
      </c>
      <c r="C991" t="s">
        <v>1012</v>
      </c>
      <c r="D991" t="s">
        <v>1014</v>
      </c>
      <c r="E991" t="s">
        <v>1026</v>
      </c>
      <c r="F991" t="s">
        <v>1033</v>
      </c>
      <c r="G991">
        <v>7</v>
      </c>
      <c r="H991">
        <v>42103</v>
      </c>
      <c r="I991">
        <v>20</v>
      </c>
      <c r="J991" t="s">
        <v>1036</v>
      </c>
      <c r="K991">
        <v>235776.8</v>
      </c>
    </row>
    <row r="992" spans="1:11" x14ac:dyDescent="0.25">
      <c r="A992" t="s">
        <v>1000</v>
      </c>
      <c r="B992" s="1">
        <v>45286</v>
      </c>
      <c r="C992" t="s">
        <v>1011</v>
      </c>
      <c r="D992" t="s">
        <v>1014</v>
      </c>
      <c r="E992" t="s">
        <v>1027</v>
      </c>
      <c r="F992" t="s">
        <v>1034</v>
      </c>
      <c r="G992">
        <v>3</v>
      </c>
      <c r="H992">
        <v>20739</v>
      </c>
      <c r="I992">
        <v>15</v>
      </c>
      <c r="J992" t="s">
        <v>1036</v>
      </c>
      <c r="K992">
        <v>52884.45</v>
      </c>
    </row>
    <row r="993" spans="1:11" x14ac:dyDescent="0.25">
      <c r="A993" t="s">
        <v>1001</v>
      </c>
      <c r="B993" s="1">
        <v>45159</v>
      </c>
      <c r="C993" t="s">
        <v>1010</v>
      </c>
      <c r="D993" t="s">
        <v>1021</v>
      </c>
      <c r="E993" t="s">
        <v>1027</v>
      </c>
      <c r="F993" t="s">
        <v>1032</v>
      </c>
      <c r="G993">
        <v>3</v>
      </c>
      <c r="H993">
        <v>23796</v>
      </c>
      <c r="I993">
        <v>10</v>
      </c>
      <c r="J993" t="s">
        <v>1039</v>
      </c>
      <c r="K993">
        <v>64249.2</v>
      </c>
    </row>
    <row r="994" spans="1:11" x14ac:dyDescent="0.25">
      <c r="A994" t="s">
        <v>1002</v>
      </c>
      <c r="B994" s="1">
        <v>44963</v>
      </c>
      <c r="C994" t="s">
        <v>1013</v>
      </c>
      <c r="D994" t="s">
        <v>1014</v>
      </c>
      <c r="E994" t="s">
        <v>1025</v>
      </c>
      <c r="F994" t="s">
        <v>1034</v>
      </c>
      <c r="G994">
        <v>5</v>
      </c>
      <c r="H994">
        <v>28445</v>
      </c>
      <c r="I994">
        <v>10</v>
      </c>
      <c r="J994" t="s">
        <v>1036</v>
      </c>
      <c r="K994">
        <v>128002.5</v>
      </c>
    </row>
    <row r="995" spans="1:11" x14ac:dyDescent="0.25">
      <c r="A995" t="s">
        <v>1003</v>
      </c>
      <c r="B995" s="1">
        <v>45278</v>
      </c>
      <c r="C995" t="s">
        <v>1013</v>
      </c>
      <c r="D995" t="s">
        <v>1017</v>
      </c>
      <c r="E995" t="s">
        <v>1028</v>
      </c>
      <c r="F995" t="s">
        <v>1032</v>
      </c>
      <c r="G995">
        <v>10</v>
      </c>
      <c r="H995">
        <v>1299</v>
      </c>
      <c r="I995">
        <v>0</v>
      </c>
      <c r="J995" t="s">
        <v>1038</v>
      </c>
      <c r="K995">
        <v>12990</v>
      </c>
    </row>
    <row r="996" spans="1:11" x14ac:dyDescent="0.25">
      <c r="A996" t="s">
        <v>1004</v>
      </c>
      <c r="B996" s="1">
        <v>45046</v>
      </c>
      <c r="C996" t="s">
        <v>1013</v>
      </c>
      <c r="D996" t="s">
        <v>1016</v>
      </c>
      <c r="E996" t="s">
        <v>1028</v>
      </c>
      <c r="F996" t="s">
        <v>1033</v>
      </c>
      <c r="G996">
        <v>10</v>
      </c>
      <c r="H996">
        <v>37550</v>
      </c>
      <c r="I996">
        <v>20</v>
      </c>
      <c r="J996" t="s">
        <v>1036</v>
      </c>
      <c r="K996">
        <v>300400</v>
      </c>
    </row>
    <row r="997" spans="1:11" x14ac:dyDescent="0.25">
      <c r="A997" t="s">
        <v>1005</v>
      </c>
      <c r="B997" s="1">
        <v>45062</v>
      </c>
      <c r="C997" t="s">
        <v>1012</v>
      </c>
      <c r="D997" t="s">
        <v>1018</v>
      </c>
      <c r="E997" t="s">
        <v>1022</v>
      </c>
      <c r="F997" t="s">
        <v>1033</v>
      </c>
      <c r="G997">
        <v>10</v>
      </c>
      <c r="H997">
        <v>16442</v>
      </c>
      <c r="I997">
        <v>5</v>
      </c>
      <c r="J997" t="s">
        <v>1035</v>
      </c>
      <c r="K997">
        <v>156199</v>
      </c>
    </row>
    <row r="998" spans="1:11" x14ac:dyDescent="0.25">
      <c r="A998" t="s">
        <v>1006</v>
      </c>
      <c r="B998" s="1">
        <v>45247</v>
      </c>
      <c r="C998" t="s">
        <v>1012</v>
      </c>
      <c r="D998" t="s">
        <v>1015</v>
      </c>
      <c r="E998" t="s">
        <v>1031</v>
      </c>
      <c r="F998" t="s">
        <v>1034</v>
      </c>
      <c r="G998">
        <v>9</v>
      </c>
      <c r="H998">
        <v>13576</v>
      </c>
      <c r="I998">
        <v>15</v>
      </c>
      <c r="J998" t="s">
        <v>1038</v>
      </c>
      <c r="K998">
        <v>103856.4</v>
      </c>
    </row>
    <row r="999" spans="1:11" x14ac:dyDescent="0.25">
      <c r="A999" t="s">
        <v>1007</v>
      </c>
      <c r="B999" s="1">
        <v>45228</v>
      </c>
      <c r="C999" t="s">
        <v>1010</v>
      </c>
      <c r="D999" t="s">
        <v>1015</v>
      </c>
      <c r="E999" t="s">
        <v>1023</v>
      </c>
      <c r="F999" t="s">
        <v>1033</v>
      </c>
      <c r="G999">
        <v>3</v>
      </c>
      <c r="H999">
        <v>8700</v>
      </c>
      <c r="I999">
        <v>15</v>
      </c>
      <c r="J999" t="s">
        <v>1039</v>
      </c>
      <c r="K999">
        <v>22185</v>
      </c>
    </row>
    <row r="1000" spans="1:11" x14ac:dyDescent="0.25">
      <c r="A1000" t="s">
        <v>1008</v>
      </c>
      <c r="B1000" s="1">
        <v>45265</v>
      </c>
      <c r="C1000" t="s">
        <v>1011</v>
      </c>
      <c r="D1000" t="s">
        <v>1014</v>
      </c>
      <c r="E1000" t="s">
        <v>1023</v>
      </c>
      <c r="F1000" t="s">
        <v>1033</v>
      </c>
      <c r="G1000">
        <v>8</v>
      </c>
      <c r="H1000">
        <v>35747</v>
      </c>
      <c r="I1000">
        <v>0</v>
      </c>
      <c r="J1000" t="s">
        <v>1035</v>
      </c>
      <c r="K1000">
        <v>285976</v>
      </c>
    </row>
    <row r="1001" spans="1:11" x14ac:dyDescent="0.25">
      <c r="A1001" t="s">
        <v>1009</v>
      </c>
      <c r="B1001" s="1">
        <v>45028</v>
      </c>
      <c r="C1001" t="s">
        <v>1011</v>
      </c>
      <c r="D1001" t="s">
        <v>1018</v>
      </c>
      <c r="E1001" t="s">
        <v>1029</v>
      </c>
      <c r="F1001" t="s">
        <v>1034</v>
      </c>
      <c r="G1001">
        <v>10</v>
      </c>
      <c r="H1001">
        <v>7270</v>
      </c>
      <c r="I1001">
        <v>15</v>
      </c>
      <c r="J1001" t="s">
        <v>1038</v>
      </c>
      <c r="K1001">
        <v>61795</v>
      </c>
    </row>
    <row r="1002" spans="1:11" x14ac:dyDescent="0.25">
      <c r="A1002" t="s">
        <v>1083</v>
      </c>
      <c r="B1002" s="1">
        <v>45028</v>
      </c>
      <c r="C1002" t="s">
        <v>1012</v>
      </c>
      <c r="D1002" t="s">
        <v>1014</v>
      </c>
      <c r="E1002" t="s">
        <v>1026</v>
      </c>
      <c r="F1002" t="s">
        <v>1032</v>
      </c>
      <c r="G1002">
        <v>1</v>
      </c>
      <c r="H1002">
        <v>30000</v>
      </c>
      <c r="I1002">
        <v>10</v>
      </c>
      <c r="J1002" t="s">
        <v>1035</v>
      </c>
      <c r="K1002">
        <v>27000</v>
      </c>
    </row>
  </sheetData>
  <mergeCells count="2">
    <mergeCell ref="P4:Q4"/>
    <mergeCell ref="P7:Q7"/>
  </mergeCells>
  <pageMargins left="0.7" right="0.7" top="0.75" bottom="0.75" header="0.3" footer="0.3"/>
  <pageSetup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65C2-5C92-4185-8306-C2CD462C2E7E}">
  <dimension ref="A1:AH15"/>
  <sheetViews>
    <sheetView tabSelected="1" view="pageBreakPreview" zoomScale="70" zoomScaleNormal="70" zoomScaleSheetLayoutView="70" workbookViewId="0">
      <selection activeCell="Z12" sqref="Z12"/>
    </sheetView>
  </sheetViews>
  <sheetFormatPr defaultRowHeight="15" x14ac:dyDescent="0.25"/>
  <cols>
    <col min="26" max="26" width="15.28515625" bestFit="1" customWidth="1"/>
  </cols>
  <sheetData>
    <row r="1" spans="1:34" ht="15" customHeight="1" x14ac:dyDescent="0.25">
      <c r="A1" s="27" t="s">
        <v>1055</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row>
    <row r="2" spans="1:34"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row>
    <row r="13" spans="1:34" x14ac:dyDescent="0.25">
      <c r="Z13" s="9"/>
    </row>
    <row r="15" spans="1:34" x14ac:dyDescent="0.25">
      <c r="Z15" s="8"/>
    </row>
  </sheetData>
  <mergeCells count="1">
    <mergeCell ref="A1:AH2"/>
  </mergeCells>
  <pageMargins left="0.7" right="0.7" top="0.75" bottom="0.75" header="0.3" footer="0.3"/>
  <pageSetup scale="2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70917-4D2E-4EBF-8E6E-8E8677CE029A}">
  <dimension ref="A2:K17"/>
  <sheetViews>
    <sheetView workbookViewId="0">
      <selection activeCell="B1" sqref="B1"/>
    </sheetView>
  </sheetViews>
  <sheetFormatPr defaultRowHeight="15" x14ac:dyDescent="0.25"/>
  <cols>
    <col min="1" max="1" width="13.140625" bestFit="1" customWidth="1"/>
    <col min="2" max="3" width="17.85546875" bestFit="1" customWidth="1"/>
    <col min="4" max="4" width="13.140625" bestFit="1" customWidth="1"/>
    <col min="5" max="6" width="17.85546875" bestFit="1" customWidth="1"/>
    <col min="7" max="7" width="13.140625" bestFit="1" customWidth="1"/>
    <col min="8" max="8" width="17.85546875" bestFit="1" customWidth="1"/>
    <col min="10" max="10" width="13.140625" bestFit="1" customWidth="1"/>
    <col min="11" max="11" width="17.85546875" bestFit="1" customWidth="1"/>
  </cols>
  <sheetData>
    <row r="2" spans="1:11" x14ac:dyDescent="0.25">
      <c r="A2" s="28" t="s">
        <v>1058</v>
      </c>
      <c r="B2" s="28"/>
      <c r="D2" s="29" t="s">
        <v>1059</v>
      </c>
      <c r="E2" s="30"/>
      <c r="G2" s="28" t="s">
        <v>1060</v>
      </c>
      <c r="H2" s="31"/>
      <c r="J2" s="32" t="s">
        <v>1061</v>
      </c>
      <c r="K2" s="32"/>
    </row>
    <row r="3" spans="1:11" x14ac:dyDescent="0.25">
      <c r="A3" s="28"/>
      <c r="B3" s="28"/>
      <c r="D3" s="30"/>
      <c r="E3" s="30"/>
      <c r="G3" s="31"/>
      <c r="H3" s="31"/>
      <c r="J3" s="32"/>
      <c r="K3" s="32"/>
    </row>
    <row r="4" spans="1:11" x14ac:dyDescent="0.25">
      <c r="A4" s="4" t="s">
        <v>1040</v>
      </c>
      <c r="B4" t="s">
        <v>1042</v>
      </c>
      <c r="D4" s="4" t="s">
        <v>1040</v>
      </c>
      <c r="E4" t="s">
        <v>1042</v>
      </c>
      <c r="G4" s="4" t="s">
        <v>1040</v>
      </c>
      <c r="H4" t="s">
        <v>1042</v>
      </c>
      <c r="J4" s="4" t="s">
        <v>1040</v>
      </c>
      <c r="K4" t="s">
        <v>1042</v>
      </c>
    </row>
    <row r="5" spans="1:11" x14ac:dyDescent="0.25">
      <c r="A5" s="5" t="s">
        <v>1013</v>
      </c>
      <c r="B5" s="6">
        <v>37633863.550000012</v>
      </c>
      <c r="D5" s="5" t="s">
        <v>1028</v>
      </c>
      <c r="E5" s="6">
        <v>9886845.049999997</v>
      </c>
      <c r="G5" s="5" t="s">
        <v>1014</v>
      </c>
      <c r="H5" s="6">
        <v>16537598.85</v>
      </c>
      <c r="J5" s="7" t="s">
        <v>1043</v>
      </c>
      <c r="K5" s="6">
        <v>10720376.6</v>
      </c>
    </row>
    <row r="6" spans="1:11" x14ac:dyDescent="0.25">
      <c r="A6" s="5" t="s">
        <v>1011</v>
      </c>
      <c r="B6" s="6">
        <v>28244187.550000004</v>
      </c>
      <c r="D6" s="5" t="s">
        <v>1030</v>
      </c>
      <c r="E6" s="6">
        <v>14397157.050000006</v>
      </c>
      <c r="G6" s="5" t="s">
        <v>1017</v>
      </c>
      <c r="H6" s="6">
        <v>16665524.850000007</v>
      </c>
      <c r="J6" s="7" t="s">
        <v>1044</v>
      </c>
      <c r="K6" s="6">
        <v>9575486.75</v>
      </c>
    </row>
    <row r="7" spans="1:11" x14ac:dyDescent="0.25">
      <c r="A7" s="5" t="s">
        <v>1012</v>
      </c>
      <c r="B7" s="6">
        <v>28691942.350000005</v>
      </c>
      <c r="D7" s="5" t="s">
        <v>1025</v>
      </c>
      <c r="E7" s="6">
        <v>15068963.35</v>
      </c>
      <c r="G7" s="5" t="s">
        <v>1019</v>
      </c>
      <c r="H7" s="6">
        <v>14471356.6</v>
      </c>
      <c r="J7" s="7" t="s">
        <v>1045</v>
      </c>
      <c r="K7" s="6">
        <v>8463701.75</v>
      </c>
    </row>
    <row r="8" spans="1:11" x14ac:dyDescent="0.25">
      <c r="A8" s="5" t="s">
        <v>1010</v>
      </c>
      <c r="B8" s="6">
        <v>32989408.449999988</v>
      </c>
      <c r="D8" s="5" t="s">
        <v>1029</v>
      </c>
      <c r="E8" s="6">
        <v>12207118.5</v>
      </c>
      <c r="G8" s="5" t="s">
        <v>1016</v>
      </c>
      <c r="H8" s="6">
        <v>16938506.650000002</v>
      </c>
      <c r="J8" s="7" t="s">
        <v>1046</v>
      </c>
      <c r="K8" s="6">
        <v>9779543.2999999989</v>
      </c>
    </row>
    <row r="9" spans="1:11" x14ac:dyDescent="0.25">
      <c r="A9" s="5" t="s">
        <v>1041</v>
      </c>
      <c r="B9" s="6">
        <v>127559401.90000001</v>
      </c>
      <c r="D9" s="5" t="s">
        <v>1022</v>
      </c>
      <c r="E9" s="6">
        <v>13643495.950000001</v>
      </c>
      <c r="G9" s="5" t="s">
        <v>1020</v>
      </c>
      <c r="H9" s="6">
        <v>16261343.400000008</v>
      </c>
      <c r="J9" s="7" t="s">
        <v>1047</v>
      </c>
      <c r="K9" s="6">
        <v>13371496.050000003</v>
      </c>
    </row>
    <row r="10" spans="1:11" x14ac:dyDescent="0.25">
      <c r="D10" s="5" t="s">
        <v>1023</v>
      </c>
      <c r="E10" s="6">
        <v>11999677.199999999</v>
      </c>
      <c r="G10" s="5" t="s">
        <v>1015</v>
      </c>
      <c r="H10" s="6">
        <v>15232474.399999997</v>
      </c>
      <c r="J10" s="7" t="s">
        <v>1048</v>
      </c>
      <c r="K10" s="6">
        <v>9675962.3500000015</v>
      </c>
    </row>
    <row r="11" spans="1:11" x14ac:dyDescent="0.25">
      <c r="D11" s="5" t="s">
        <v>1024</v>
      </c>
      <c r="E11" s="6">
        <v>12870290.749999998</v>
      </c>
      <c r="G11" s="5" t="s">
        <v>1018</v>
      </c>
      <c r="H11" s="6">
        <v>17681821.899999999</v>
      </c>
      <c r="J11" s="7" t="s">
        <v>1049</v>
      </c>
      <c r="K11" s="6">
        <v>10488428.200000003</v>
      </c>
    </row>
    <row r="12" spans="1:11" x14ac:dyDescent="0.25">
      <c r="D12" s="5" t="s">
        <v>1026</v>
      </c>
      <c r="E12" s="6">
        <v>13229224.000000002</v>
      </c>
      <c r="G12" s="5" t="s">
        <v>1021</v>
      </c>
      <c r="H12" s="6">
        <v>13770775.249999994</v>
      </c>
      <c r="J12" s="7" t="s">
        <v>1050</v>
      </c>
      <c r="K12" s="6">
        <v>13680068.900000002</v>
      </c>
    </row>
    <row r="13" spans="1:11" x14ac:dyDescent="0.25">
      <c r="D13" s="5" t="s">
        <v>1027</v>
      </c>
      <c r="E13" s="6">
        <v>12922466.649999995</v>
      </c>
      <c r="G13" s="5" t="s">
        <v>1041</v>
      </c>
      <c r="H13" s="6">
        <v>127559401.90000001</v>
      </c>
      <c r="J13" s="7" t="s">
        <v>1051</v>
      </c>
      <c r="K13" s="6">
        <v>7762843.049999998</v>
      </c>
    </row>
    <row r="14" spans="1:11" x14ac:dyDescent="0.25">
      <c r="D14" s="5" t="s">
        <v>1031</v>
      </c>
      <c r="E14" s="6">
        <v>11334163.400000006</v>
      </c>
      <c r="J14" s="7" t="s">
        <v>1052</v>
      </c>
      <c r="K14" s="6">
        <v>12476166.15</v>
      </c>
    </row>
    <row r="15" spans="1:11" x14ac:dyDescent="0.25">
      <c r="D15" s="5" t="s">
        <v>1041</v>
      </c>
      <c r="E15" s="6">
        <v>127559401.90000001</v>
      </c>
      <c r="J15" s="7" t="s">
        <v>1053</v>
      </c>
      <c r="K15" s="6">
        <v>9145665</v>
      </c>
    </row>
    <row r="16" spans="1:11" x14ac:dyDescent="0.25">
      <c r="J16" s="7" t="s">
        <v>1054</v>
      </c>
      <c r="K16" s="6">
        <v>12419663.799999997</v>
      </c>
    </row>
    <row r="17" spans="10:11" x14ac:dyDescent="0.25">
      <c r="J17" s="7" t="s">
        <v>1041</v>
      </c>
      <c r="K17" s="6">
        <v>127559401.90000001</v>
      </c>
    </row>
  </sheetData>
  <mergeCells count="4">
    <mergeCell ref="A2:B3"/>
    <mergeCell ref="D2:E3"/>
    <mergeCell ref="G2:H3"/>
    <mergeCell ref="J2:K3"/>
  </mergeCells>
  <phoneticPr fontId="4" type="noConversion"/>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C86D-E83A-46D0-9B4A-8597D9A7E8E8}">
  <dimension ref="A1:K22"/>
  <sheetViews>
    <sheetView workbookViewId="0">
      <selection sqref="A1:K4"/>
    </sheetView>
  </sheetViews>
  <sheetFormatPr defaultRowHeight="15" x14ac:dyDescent="0.25"/>
  <cols>
    <col min="1" max="1" width="136.7109375" bestFit="1" customWidth="1"/>
  </cols>
  <sheetData>
    <row r="1" spans="1:11" x14ac:dyDescent="0.25">
      <c r="A1" s="33" t="s">
        <v>1066</v>
      </c>
      <c r="B1" s="34"/>
      <c r="C1" s="34"/>
      <c r="D1" s="34"/>
      <c r="E1" s="34"/>
      <c r="F1" s="34"/>
      <c r="G1" s="34"/>
      <c r="H1" s="34"/>
      <c r="I1" s="34"/>
      <c r="J1" s="34"/>
      <c r="K1" s="34"/>
    </row>
    <row r="2" spans="1:11" x14ac:dyDescent="0.25">
      <c r="A2" s="34"/>
      <c r="B2" s="34"/>
      <c r="C2" s="34"/>
      <c r="D2" s="34"/>
      <c r="E2" s="34"/>
      <c r="F2" s="34"/>
      <c r="G2" s="34"/>
      <c r="H2" s="34"/>
      <c r="I2" s="34"/>
      <c r="J2" s="34"/>
      <c r="K2" s="34"/>
    </row>
    <row r="3" spans="1:11" x14ac:dyDescent="0.25">
      <c r="A3" s="34"/>
      <c r="B3" s="34"/>
      <c r="C3" s="34"/>
      <c r="D3" s="34"/>
      <c r="E3" s="34"/>
      <c r="F3" s="34"/>
      <c r="G3" s="34"/>
      <c r="H3" s="34"/>
      <c r="I3" s="34"/>
      <c r="J3" s="34"/>
      <c r="K3" s="34"/>
    </row>
    <row r="4" spans="1:11" x14ac:dyDescent="0.25">
      <c r="A4" s="34"/>
      <c r="B4" s="34"/>
      <c r="C4" s="34"/>
      <c r="D4" s="34"/>
      <c r="E4" s="34"/>
      <c r="F4" s="34"/>
      <c r="G4" s="34"/>
      <c r="H4" s="34"/>
      <c r="I4" s="34"/>
      <c r="J4" s="34"/>
      <c r="K4" s="34"/>
    </row>
    <row r="5" spans="1:11" ht="15.75" x14ac:dyDescent="0.25">
      <c r="A5" s="12" t="s">
        <v>1067</v>
      </c>
      <c r="B5" s="9"/>
      <c r="C5" s="9"/>
      <c r="D5" s="9"/>
      <c r="E5" s="9"/>
      <c r="F5" s="9"/>
      <c r="G5" s="9"/>
      <c r="H5" s="9"/>
      <c r="I5" s="9"/>
      <c r="J5" s="9"/>
      <c r="K5" s="9"/>
    </row>
    <row r="6" spans="1:11" x14ac:dyDescent="0.25">
      <c r="A6" s="10" t="s">
        <v>1073</v>
      </c>
      <c r="B6" s="9"/>
      <c r="C6" s="9"/>
      <c r="D6" s="9"/>
      <c r="E6" s="9"/>
      <c r="F6" s="9"/>
      <c r="G6" s="9"/>
      <c r="H6" s="9"/>
      <c r="I6" s="9"/>
      <c r="J6" s="9"/>
      <c r="K6" s="9"/>
    </row>
    <row r="7" spans="1:11" x14ac:dyDescent="0.25">
      <c r="A7" s="10" t="s">
        <v>1074</v>
      </c>
      <c r="B7" s="9"/>
      <c r="C7" s="9"/>
      <c r="D7" s="9"/>
      <c r="E7" s="9"/>
      <c r="F7" s="9"/>
      <c r="G7" s="9"/>
      <c r="H7" s="9"/>
      <c r="I7" s="9"/>
      <c r="J7" s="9"/>
      <c r="K7" s="9"/>
    </row>
    <row r="8" spans="1:11" ht="15.75" x14ac:dyDescent="0.25">
      <c r="A8" s="12" t="s">
        <v>1068</v>
      </c>
      <c r="B8" s="9"/>
      <c r="C8" s="9"/>
      <c r="D8" s="9"/>
      <c r="E8" s="9"/>
      <c r="F8" s="9"/>
      <c r="G8" s="9"/>
      <c r="H8" s="9"/>
      <c r="I8" s="9"/>
      <c r="J8" s="9"/>
      <c r="K8" s="9"/>
    </row>
    <row r="9" spans="1:11" x14ac:dyDescent="0.25">
      <c r="A9" s="11" t="s">
        <v>1075</v>
      </c>
      <c r="B9" s="9"/>
      <c r="C9" s="9"/>
      <c r="D9" s="9"/>
      <c r="E9" s="9"/>
      <c r="F9" s="9"/>
      <c r="G9" s="9"/>
      <c r="H9" s="9"/>
      <c r="I9" s="9"/>
      <c r="J9" s="9"/>
      <c r="K9" s="9"/>
    </row>
    <row r="10" spans="1:11" x14ac:dyDescent="0.25">
      <c r="A10" s="10" t="s">
        <v>1076</v>
      </c>
      <c r="B10" s="9"/>
      <c r="C10" s="9"/>
      <c r="D10" s="9"/>
      <c r="E10" s="9"/>
      <c r="F10" s="9"/>
      <c r="G10" s="9"/>
      <c r="H10" s="9"/>
      <c r="I10" s="9"/>
      <c r="J10" s="9"/>
      <c r="K10" s="9"/>
    </row>
    <row r="11" spans="1:11" ht="15.75" x14ac:dyDescent="0.25">
      <c r="A11" s="12" t="s">
        <v>1069</v>
      </c>
      <c r="B11" s="9"/>
      <c r="C11" s="9"/>
      <c r="D11" s="9"/>
      <c r="E11" s="9"/>
      <c r="F11" s="9"/>
      <c r="G11" s="9"/>
      <c r="H11" s="9"/>
      <c r="I11" s="9"/>
      <c r="J11" s="9"/>
      <c r="K11" s="9"/>
    </row>
    <row r="12" spans="1:11" x14ac:dyDescent="0.25">
      <c r="A12" s="11" t="s">
        <v>1077</v>
      </c>
      <c r="B12" s="9"/>
      <c r="C12" s="9"/>
      <c r="D12" s="9"/>
      <c r="E12" s="9"/>
      <c r="F12" s="9"/>
      <c r="G12" s="9"/>
      <c r="H12" s="9"/>
      <c r="I12" s="9"/>
      <c r="J12" s="9"/>
      <c r="K12" s="9"/>
    </row>
    <row r="13" spans="1:11" x14ac:dyDescent="0.25">
      <c r="A13" s="10" t="s">
        <v>1062</v>
      </c>
      <c r="B13" s="9"/>
      <c r="C13" s="9"/>
      <c r="D13" s="9"/>
      <c r="E13" s="9"/>
      <c r="F13" s="9"/>
      <c r="G13" s="9"/>
      <c r="H13" s="9"/>
      <c r="I13" s="9"/>
      <c r="J13" s="9"/>
      <c r="K13" s="9"/>
    </row>
    <row r="14" spans="1:11" ht="15.75" x14ac:dyDescent="0.25">
      <c r="A14" s="12" t="s">
        <v>1070</v>
      </c>
      <c r="B14" s="9"/>
      <c r="C14" s="9"/>
      <c r="D14" s="9"/>
      <c r="E14" s="9"/>
      <c r="F14" s="9"/>
      <c r="G14" s="9"/>
      <c r="H14" s="9"/>
      <c r="I14" s="9"/>
      <c r="J14" s="9"/>
      <c r="K14" s="9"/>
    </row>
    <row r="15" spans="1:11" x14ac:dyDescent="0.25">
      <c r="A15" s="10" t="s">
        <v>1078</v>
      </c>
      <c r="B15" s="9"/>
      <c r="C15" s="9"/>
      <c r="D15" s="9"/>
      <c r="E15" s="9"/>
      <c r="F15" s="9"/>
      <c r="G15" s="9"/>
      <c r="H15" s="9"/>
      <c r="I15" s="9"/>
      <c r="J15" s="9"/>
      <c r="K15" s="9"/>
    </row>
    <row r="16" spans="1:11" x14ac:dyDescent="0.25">
      <c r="A16" s="10" t="s">
        <v>1063</v>
      </c>
      <c r="B16" s="9"/>
      <c r="C16" s="9"/>
      <c r="D16" s="9"/>
      <c r="E16" s="9"/>
      <c r="F16" s="9"/>
      <c r="G16" s="9"/>
      <c r="H16" s="9"/>
      <c r="I16" s="9"/>
      <c r="J16" s="9"/>
      <c r="K16" s="9"/>
    </row>
    <row r="17" spans="1:11" ht="15.75" x14ac:dyDescent="0.25">
      <c r="A17" s="12" t="s">
        <v>1071</v>
      </c>
      <c r="B17" s="9"/>
      <c r="C17" s="9"/>
      <c r="D17" s="9"/>
      <c r="E17" s="9"/>
      <c r="F17" s="9"/>
      <c r="G17" s="9"/>
      <c r="H17" s="9"/>
      <c r="I17" s="9"/>
      <c r="J17" s="9"/>
      <c r="K17" s="9"/>
    </row>
    <row r="18" spans="1:11" x14ac:dyDescent="0.25">
      <c r="A18" s="11" t="s">
        <v>1079</v>
      </c>
      <c r="B18" s="9"/>
      <c r="C18" s="9"/>
      <c r="D18" s="9"/>
      <c r="E18" s="9"/>
      <c r="F18" s="9"/>
      <c r="G18" s="9"/>
      <c r="H18" s="9"/>
      <c r="I18" s="9"/>
      <c r="J18" s="9"/>
      <c r="K18" s="9"/>
    </row>
    <row r="19" spans="1:11" x14ac:dyDescent="0.25">
      <c r="A19" s="10" t="s">
        <v>1064</v>
      </c>
      <c r="B19" s="9"/>
      <c r="C19" s="9"/>
      <c r="D19" s="9"/>
      <c r="E19" s="9"/>
      <c r="F19" s="9"/>
      <c r="G19" s="9"/>
      <c r="H19" s="9"/>
      <c r="I19" s="9"/>
      <c r="J19" s="9"/>
      <c r="K19" s="9"/>
    </row>
    <row r="20" spans="1:11" ht="15.75" x14ac:dyDescent="0.25">
      <c r="A20" s="12" t="s">
        <v>1072</v>
      </c>
      <c r="B20" s="9"/>
      <c r="C20" s="9"/>
      <c r="D20" s="9"/>
      <c r="E20" s="9"/>
      <c r="F20" s="9"/>
      <c r="G20" s="9"/>
      <c r="H20" s="9"/>
      <c r="I20" s="9"/>
      <c r="J20" s="9"/>
      <c r="K20" s="9"/>
    </row>
    <row r="21" spans="1:11" x14ac:dyDescent="0.25">
      <c r="A21" s="10" t="s">
        <v>1080</v>
      </c>
      <c r="B21" s="9"/>
      <c r="C21" s="9"/>
      <c r="D21" s="9"/>
      <c r="E21" s="9"/>
      <c r="F21" s="9"/>
      <c r="G21" s="9"/>
      <c r="H21" s="9"/>
      <c r="I21" s="9"/>
      <c r="J21" s="9"/>
      <c r="K21" s="9"/>
    </row>
    <row r="22" spans="1:11" x14ac:dyDescent="0.25">
      <c r="A22" s="10" t="s">
        <v>1065</v>
      </c>
      <c r="B22" s="9"/>
      <c r="C22" s="9"/>
      <c r="D22" s="9"/>
      <c r="E22" s="9"/>
      <c r="F22" s="9"/>
      <c r="G22" s="9"/>
      <c r="H22" s="9"/>
      <c r="I22" s="9"/>
      <c r="J22" s="9"/>
      <c r="K22" s="9"/>
    </row>
  </sheetData>
  <mergeCells count="1">
    <mergeCell ref="A1: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8C83B-4E62-4713-9404-DECFDF108B6D}">
  <dimension ref="B1:B2"/>
  <sheetViews>
    <sheetView workbookViewId="0">
      <selection activeCell="B3" sqref="B3"/>
    </sheetView>
  </sheetViews>
  <sheetFormatPr defaultRowHeight="15" x14ac:dyDescent="0.25"/>
  <sheetData>
    <row r="1" spans="2:2" x14ac:dyDescent="0.25">
      <c r="B1">
        <v>5</v>
      </c>
    </row>
    <row r="2" spans="2:2" x14ac:dyDescent="0.25">
      <c r="B2">
        <v>100000</v>
      </c>
    </row>
  </sheetData>
  <dataValidations count="1">
    <dataValidation type="whole" errorStyle="warning" allowBlank="1" showInputMessage="1" showErrorMessage="1" error="INVALID NUMBER" prompt="PLEASE ENTER A VALID NUMBER BETWEEN 1 TO 100000" sqref="A1:XFD1048576" xr:uid="{807476FB-95C1-422F-8D3D-C4120A732A75}">
      <formula1>1</formula1>
      <formula2>100000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Analysis </vt:lpstr>
      <vt:lpstr>Insights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Arijit Bhattacharjee</dc:creator>
  <cp:lastModifiedBy>Arijit</cp:lastModifiedBy>
  <cp:lastPrinted>2025-09-09T03:32:23Z</cp:lastPrinted>
  <dcterms:created xsi:type="dcterms:W3CDTF">2025-09-08T03:29:39Z</dcterms:created>
  <dcterms:modified xsi:type="dcterms:W3CDTF">2025-10-27T04:43:26Z</dcterms:modified>
</cp:coreProperties>
</file>